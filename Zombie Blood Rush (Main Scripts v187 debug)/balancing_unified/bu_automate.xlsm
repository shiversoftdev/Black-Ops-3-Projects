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odding\Call of Duty\Black Ops 3\Projects\t7zbr\balancing_unified\"/>
    </mc:Choice>
  </mc:AlternateContent>
  <xr:revisionPtr revIDLastSave="0" documentId="13_ncr:1_{9E5D3945-8004-44FC-BD9D-3864170EAA9A}" xr6:coauthVersionLast="47" xr6:coauthVersionMax="47" xr10:uidLastSave="{00000000-0000-0000-0000-000000000000}"/>
  <bookViews>
    <workbookView xWindow="-120" yWindow="-120" windowWidth="38640" windowHeight="21390" activeTab="1" xr2:uid="{1CAB8250-FE01-4F89-9693-44B50D42503F}"/>
  </bookViews>
  <sheets>
    <sheet name="conf" sheetId="5" r:id="rId1"/>
    <sheet name="data" sheetId="4" r:id="rId2"/>
    <sheet name="tune" sheetId="2" r:id="rId3"/>
    <sheet name="prod" sheetId="3" r:id="rId4"/>
  </sheets>
  <functionGroups builtInGroupCount="19"/>
  <definedNames>
    <definedName name="ExternalData_1" localSheetId="1" hidden="1">data!$A$1:$AE$137</definedName>
    <definedName name="ExternalData_2" localSheetId="0" hidden="1">conf!$F$1:$G$8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_settings_94aac892-716b-494b-b7ee-bcbc7a763bc6" name="__settings" connection="Query - __setting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5" l="1"/>
  <c r="J4" i="5" s="1"/>
  <c r="J3" i="5"/>
  <c r="J6" i="5"/>
  <c r="J7" i="5"/>
  <c r="J8" i="5"/>
  <c r="J9" i="5"/>
  <c r="J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83E32A-7BF2-4DAA-A67C-744424AD97A2}" keepAlive="1" name="ModelConnection_ExternalData_2" description="Data Model" type="5" refreshedVersion="8" minRefreshableVersion="5" saveData="1">
    <dbPr connection="Data Model Connection" command="__setting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B611B81-E7F8-458C-8115-C54C8E3FC7FD}" name="Query - __settings" description="Connection to the '__settings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25efac23-cde0-40ce-8df7-077fadfec59a"/>
      </ext>
    </extLst>
  </connection>
  <connection id="3" xr16:uid="{94E73A50-A2B4-4536-81E0-D77C92300E76}" keepAlive="1" name="Query - core_test" description="Connection to the 'core_test' query in the workbook." type="5" refreshedVersion="8" background="1" refreshOnLoad="1" saveData="1">
    <dbPr connection="Provider=Microsoft.Mashup.OleDb.1;Data Source=$Workbook$;Location=core_test;Extended Properties=&quot;&quot;" command="SELECT * FROM [core_test]"/>
  </connection>
  <connection id="4" xr16:uid="{B40C38AC-6FFF-43B6-B301-9AAB03E40E9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<sst xmlns="http://schemas.openxmlformats.org/spreadsheetml/2006/main" count="4666" uniqueCount="419">
  <si>
    <t>name</t>
  </si>
  <si>
    <t>damage</t>
  </si>
  <si>
    <t>firetype</t>
  </si>
  <si>
    <t>weaptype</t>
  </si>
  <si>
    <t>burst</t>
  </si>
  <si>
    <t>bullet</t>
  </si>
  <si>
    <t>fullauto</t>
  </si>
  <si>
    <t>single</t>
  </si>
  <si>
    <t>autoburst</t>
  </si>
  <si>
    <t>stacked</t>
  </si>
  <si>
    <t>locked</t>
  </si>
  <si>
    <t>minigun</t>
  </si>
  <si>
    <t>charge</t>
  </si>
  <si>
    <t>chargeburst</t>
  </si>
  <si>
    <t>chargeautoburst</t>
  </si>
  <si>
    <t>jetgun</t>
  </si>
  <si>
    <t>melee</t>
  </si>
  <si>
    <t>aimonly</t>
  </si>
  <si>
    <t>weapFireType_t</t>
  </si>
  <si>
    <t>weapType_t</t>
  </si>
  <si>
    <t>grenade</t>
  </si>
  <si>
    <t>projectile</t>
  </si>
  <si>
    <t>binoculars</t>
  </si>
  <si>
    <t>gas</t>
  </si>
  <si>
    <t>bomb</t>
  </si>
  <si>
    <t>mine</t>
  </si>
  <si>
    <t>shield</t>
  </si>
  <si>
    <t>weapClass_t</t>
  </si>
  <si>
    <t>rifle</t>
  </si>
  <si>
    <t>mg</t>
  </si>
  <si>
    <t>smg</t>
  </si>
  <si>
    <t>spread</t>
  </si>
  <si>
    <t>pistol</t>
  </si>
  <si>
    <t>rocketlauncher</t>
  </si>
  <si>
    <t>turret</t>
  </si>
  <si>
    <t>nonplayer</t>
  </si>
  <si>
    <t>item</t>
  </si>
  <si>
    <t>killstreak</t>
  </si>
  <si>
    <t>pistol_spread</t>
  </si>
  <si>
    <t>ball</t>
  </si>
  <si>
    <t>weapclass</t>
  </si>
  <si>
    <t>glaive_apothicon_0_zm</t>
  </si>
  <si>
    <t>smg_standard_upgraded_zm</t>
  </si>
  <si>
    <t>zombie_bgb_use</t>
  </si>
  <si>
    <t>pistol_revolver38lh_upgraded_zm</t>
  </si>
  <si>
    <t>smg_standard_zm</t>
  </si>
  <si>
    <t>ar_accurate_zm</t>
  </si>
  <si>
    <t>idgun_3_zm</t>
  </si>
  <si>
    <t>hunter_rocket_turret</t>
  </si>
  <si>
    <t>pistol_burst_upgraded_zm</t>
  </si>
  <si>
    <t>spike_charge_siegebot</t>
  </si>
  <si>
    <t>ar_longburst_zm</t>
  </si>
  <si>
    <t>shotgun_pump_upgraded_zm</t>
  </si>
  <si>
    <t>zombie_fists_zm</t>
  </si>
  <si>
    <t>smg_longrange_upgraded_zm</t>
  </si>
  <si>
    <t>zombie_knuckle_crack</t>
  </si>
  <si>
    <t>zombie_bgb_grab</t>
  </si>
  <si>
    <t>frag_grenade_slaughter_slide_zm</t>
  </si>
  <si>
    <t>bowie_knife_widows_wine_zm</t>
  </si>
  <si>
    <t>idgun_zm</t>
  </si>
  <si>
    <t>glaive_apothicon_3_zm</t>
  </si>
  <si>
    <t>lmg_slowfire_zm</t>
  </si>
  <si>
    <t>lmg_slowfire_upgraded_zm</t>
  </si>
  <si>
    <t>ar_longburst_upgraded_zm</t>
  </si>
  <si>
    <t>idgun_1_zm</t>
  </si>
  <si>
    <t>knife_widows_wine_zm</t>
  </si>
  <si>
    <t>zombie_beast_lightning_dwl2_zm</t>
  </si>
  <si>
    <t>lmg_light_zm</t>
  </si>
  <si>
    <t>pistol_standardlh_upgraded_zm</t>
  </si>
  <si>
    <t>zombie_ai_defaultmelee_zm</t>
  </si>
  <si>
    <t>sniper_fastsemi_upgraded_zm</t>
  </si>
  <si>
    <t>glaive_keeper_3_zm</t>
  </si>
  <si>
    <t>zombie_perk_bottle_marathon</t>
  </si>
  <si>
    <t>syrette_zm</t>
  </si>
  <si>
    <t>defaultweapon</t>
  </si>
  <si>
    <t>ar_damage_zm</t>
  </si>
  <si>
    <t>idgun_upgraded_0_zm</t>
  </si>
  <si>
    <t>glaive_apothicon_1_zm</t>
  </si>
  <si>
    <t>special_crossbow_dw_zm</t>
  </si>
  <si>
    <t>shotgun_precision_zm</t>
  </si>
  <si>
    <t>zombie_perk_bottle_additionalprimaryweapon</t>
  </si>
  <si>
    <t>zombie_builder_zm</t>
  </si>
  <si>
    <t>glaive_keeper_0_zm</t>
  </si>
  <si>
    <t>pistol_fullauto_upgraded_zm</t>
  </si>
  <si>
    <t>smg_burst_upgraded_zm</t>
  </si>
  <si>
    <t>zombie_fists_bowie_zm</t>
  </si>
  <si>
    <t>syrette_zod_beast_zm</t>
  </si>
  <si>
    <t>minigun_zm</t>
  </si>
  <si>
    <t>zombie_perk_bottle_sleight</t>
  </si>
  <si>
    <t>shotgun_pump_zm</t>
  </si>
  <si>
    <t>smg_capacity_zm</t>
  </si>
  <si>
    <t>hero_gravityspikes_zm</t>
  </si>
  <si>
    <t>frag_grenade_zm</t>
  </si>
  <si>
    <t>bowie_flourish_zm</t>
  </si>
  <si>
    <t>ar_marksman_upgraded_zm</t>
  </si>
  <si>
    <t>riotshield_zm</t>
  </si>
  <si>
    <t>launcher_standard_zm</t>
  </si>
  <si>
    <t>idgun_upgraded_3_zm</t>
  </si>
  <si>
    <t>zombie_perk_bottle_doubletap</t>
  </si>
  <si>
    <t>ar_damage_upgraded_zm</t>
  </si>
  <si>
    <t>hunter_rocket_turret_player</t>
  </si>
  <si>
    <t>smg_capacity_upgraded_zm</t>
  </si>
  <si>
    <t>idgun_2_zm</t>
  </si>
  <si>
    <t>sniper_fastbolt_upgraded_zm</t>
  </si>
  <si>
    <t>pistol_standard_upgraded_zm</t>
  </si>
  <si>
    <t>zombie_beast_lightning_dwl3_zm</t>
  </si>
  <si>
    <t>shotgun_semiauto_zm</t>
  </si>
  <si>
    <t>ray_gun_upgraded_zm</t>
  </si>
  <si>
    <t>hero_gravityspikes_melee_zm</t>
  </si>
  <si>
    <t>zombie_beast_lightning_dwl_zm</t>
  </si>
  <si>
    <t>ar_standard_upgraded_companion_zm</t>
  </si>
  <si>
    <t>lmg_cqb_zm</t>
  </si>
  <si>
    <t>lmg_heavy_upgraded_zm</t>
  </si>
  <si>
    <t>smg_sten_zm</t>
  </si>
  <si>
    <t>sniper_powerbolt_upgraded_zm</t>
  </si>
  <si>
    <t>ray_gun_zm</t>
  </si>
  <si>
    <t>bouncingbetty_zm</t>
  </si>
  <si>
    <t>ar_marksman_zm</t>
  </si>
  <si>
    <t>ar_standard_zm</t>
  </si>
  <si>
    <t>idgun_upgraded_1_zm</t>
  </si>
  <si>
    <t>chemicalgel_secondary_explosion</t>
  </si>
  <si>
    <t>pistol_revolver38_zm</t>
  </si>
  <si>
    <t>sniper_fastbolt_zm</t>
  </si>
  <si>
    <t>lmg_cqb_upgraded_zm</t>
  </si>
  <si>
    <t>glaive_keeper_1_zm</t>
  </si>
  <si>
    <t>lmg_light_upgraded_zm</t>
  </si>
  <si>
    <t>siegebot_javelin_turret</t>
  </si>
  <si>
    <t>ar_accurate_upgraded_zm</t>
  </si>
  <si>
    <t>shotgun_semiauto_upgraded_zm</t>
  </si>
  <si>
    <t>sniper_fastsemi_zm</t>
  </si>
  <si>
    <t>pistol_standard_zm</t>
  </si>
  <si>
    <t>knife_zm</t>
  </si>
  <si>
    <t>zombie_beast_grapple_dwr_zm</t>
  </si>
  <si>
    <t>tesla_gun_upgraded_zm</t>
  </si>
  <si>
    <t>special_crossbowlh_upgraded_zm</t>
  </si>
  <si>
    <t>parasite_ooze_turret</t>
  </si>
  <si>
    <t>bouncingbetty_holly_zm</t>
  </si>
  <si>
    <t>launcher_standard_upgraded_zm</t>
  </si>
  <si>
    <t>smg_fastfire_zm</t>
  </si>
  <si>
    <t>smg_sten_upgraded_zm</t>
  </si>
  <si>
    <t>pistol_fullauto_zm</t>
  </si>
  <si>
    <t>tesla_gun_zm</t>
  </si>
  <si>
    <t>zombie_perk_bottle_revive</t>
  </si>
  <si>
    <t>bouncingbetty_devil_zm</t>
  </si>
  <si>
    <t>ar_cqb_zm</t>
  </si>
  <si>
    <t>ar_standard_upgraded_zm</t>
  </si>
  <si>
    <t>special_crossbowlh_zm</t>
  </si>
  <si>
    <t>pistol_burst_zm</t>
  </si>
  <si>
    <t>pistol_revolver38_upgraded_zm</t>
  </si>
  <si>
    <t>smg_burst_zm</t>
  </si>
  <si>
    <t>octobomb_zm</t>
  </si>
  <si>
    <t>ar_cqb_upgraded_zm</t>
  </si>
  <si>
    <t>sticky_grenade_zm</t>
  </si>
  <si>
    <t>zombie_perk_bottle_widows_wine</t>
  </si>
  <si>
    <t>bowie_knife_zm</t>
  </si>
  <si>
    <t>glaive_apothicon_2_zm</t>
  </si>
  <si>
    <t>zombie_perk_bottle_jugg</t>
  </si>
  <si>
    <t>ar_standard_companion_zm</t>
  </si>
  <si>
    <t>idgun_0_zm</t>
  </si>
  <si>
    <t>shotgun_precision_upgraded_zm</t>
  </si>
  <si>
    <t>shotgun_fullauto_upgraded_zm</t>
  </si>
  <si>
    <t>smg_fastfire_upgraded_zm</t>
  </si>
  <si>
    <t>idgun_upgraded_2_zm</t>
  </si>
  <si>
    <t>sniper_powerbolt_zm</t>
  </si>
  <si>
    <t>none</t>
  </si>
  <si>
    <t>special_crossbow_dw_upgraded_zm</t>
  </si>
  <si>
    <t>zod_riotshield_zm</t>
  </si>
  <si>
    <t>glaive_keeper_2_zm</t>
  </si>
  <si>
    <t>zod_riotshield_upgraded_zm</t>
  </si>
  <si>
    <t>smg_longrange_zm</t>
  </si>
  <si>
    <t>octobomb_upgraded_zm</t>
  </si>
  <si>
    <t>lmg_heavy_zm</t>
  </si>
  <si>
    <t>smg_versatile_zm</t>
  </si>
  <si>
    <t>contact_grenade_zm</t>
  </si>
  <si>
    <t>shotgun_fullauto_zm</t>
  </si>
  <si>
    <t>sticky_grenade_widows_wine_zm</t>
  </si>
  <si>
    <t>smg_versatile_upgraded_zm</t>
  </si>
  <si>
    <t>index</t>
  </si>
  <si>
    <t>altindex</t>
  </si>
  <si>
    <t>projexplode</t>
  </si>
  <si>
    <t>innerexpdmg</t>
  </si>
  <si>
    <t>outerexpdmg</t>
  </si>
  <si>
    <t>0</t>
  </si>
  <si>
    <t>1</t>
  </si>
  <si>
    <t>2</t>
  </si>
  <si>
    <t>4</t>
  </si>
  <si>
    <t>6</t>
  </si>
  <si>
    <t>7</t>
  </si>
  <si>
    <t>9</t>
  </si>
  <si>
    <t>11</t>
  </si>
  <si>
    <t>13</t>
  </si>
  <si>
    <t>15</t>
  </si>
  <si>
    <t>17</t>
  </si>
  <si>
    <t>19</t>
  </si>
  <si>
    <t>21</t>
  </si>
  <si>
    <t>22</t>
  </si>
  <si>
    <t>24</t>
  </si>
  <si>
    <t>26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</si>
  <si>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</si>
  <si>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</si>
  <si>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</si>
  <si>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</si>
  <si>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</si>
  <si>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</si>
  <si>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</si>
  <si>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</si>
  <si>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</si>
  <si>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</si>
  <si>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</si>
  <si>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</si>
  <si>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</si>
  <si>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</si>
  <si>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</si>
  <si>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</si>
  <si>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</si>
  <si>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</si>
  <si>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</si>
  <si>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</si>
  <si>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</si>
  <si>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61</t>
  </si>
  <si>
    <t>63</t>
  </si>
  <si>
    <t>65</t>
  </si>
  <si>
    <t>67</t>
  </si>
  <si>
    <t>69</t>
  </si>
  <si>
    <t>71</t>
  </si>
  <si>
    <t>73</t>
  </si>
  <si>
    <t>75</t>
  </si>
  <si>
    <t>77</t>
  </si>
  <si>
    <t>79</t>
  </si>
  <si>
    <t>81</t>
  </si>
  <si>
    <t>83</t>
  </si>
  <si>
    <t>85</t>
  </si>
  <si>
    <t>87</t>
  </si>
  <si>
    <t>88</t>
  </si>
  <si>
    <t>89</t>
  </si>
  <si>
    <t>90</t>
  </si>
  <si>
    <t>91</t>
  </si>
  <si>
    <t>1200</t>
  </si>
  <si>
    <t>92</t>
  </si>
  <si>
    <t>93</t>
  </si>
  <si>
    <t>94</t>
  </si>
  <si>
    <t>95</t>
  </si>
  <si>
    <t>96</t>
  </si>
  <si>
    <t>97</t>
  </si>
  <si>
    <t>rocket</t>
  </si>
  <si>
    <t>2500</t>
  </si>
  <si>
    <t>1000</t>
  </si>
  <si>
    <t>98</t>
  </si>
  <si>
    <t>10000</t>
  </si>
  <si>
    <t>7000</t>
  </si>
  <si>
    <t>99</t>
  </si>
  <si>
    <t>100</t>
  </si>
  <si>
    <t>101</t>
  </si>
  <si>
    <t>102</t>
  </si>
  <si>
    <t>103</t>
  </si>
  <si>
    <t>104</t>
  </si>
  <si>
    <t>10</t>
  </si>
  <si>
    <t>105</t>
  </si>
  <si>
    <t>60</t>
  </si>
  <si>
    <t>20</t>
  </si>
  <si>
    <t>106</t>
  </si>
  <si>
    <t>107</t>
  </si>
  <si>
    <t>50</t>
  </si>
  <si>
    <t>108</t>
  </si>
  <si>
    <t>109</t>
  </si>
  <si>
    <t>300</t>
  </si>
  <si>
    <t>70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</si>
  <si>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</si>
  <si>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</si>
  <si>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</si>
  <si>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</si>
  <si>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</si>
  <si>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</si>
  <si>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</si>
  <si>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</si>
  <si>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</si>
  <si>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</si>
  <si>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</si>
  <si>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</si>
  <si>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</si>
  <si>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</si>
  <si>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</si>
  <si>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</si>
  <si>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</si>
  <si>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</si>
  <si>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</si>
  <si>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</si>
  <si>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</si>
  <si>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</si>
  <si>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500</t>
  </si>
  <si>
    <t>132</t>
  </si>
  <si>
    <t>400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</si>
  <si>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</si>
  <si>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</si>
  <si>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</si>
  <si>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</si>
  <si>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</si>
  <si>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</si>
  <si>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</si>
  <si>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</si>
  <si>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</si>
  <si>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</si>
  <si>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</si>
  <si>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</si>
  <si>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5000</t>
  </si>
  <si>
    <t>450</t>
  </si>
  <si>
    <t>145</t>
  </si>
  <si>
    <t>146</t>
  </si>
  <si>
    <t>2000</t>
  </si>
  <si>
    <t>147</t>
  </si>
  <si>
    <t>1500</t>
  </si>
  <si>
    <t>148</t>
  </si>
  <si>
    <t>149</t>
  </si>
  <si>
    <t>150</t>
  </si>
  <si>
    <t>151</t>
  </si>
  <si>
    <t>smoke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</si>
  <si>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</si>
  <si>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</si>
  <si>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</si>
  <si>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</si>
  <si>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</si>
  <si>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</si>
  <si>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</si>
  <si>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</si>
  <si>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</si>
  <si>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</si>
  <si>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</si>
  <si>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</si>
  <si>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</si>
  <si>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</si>
  <si>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</si>
  <si>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</si>
  <si>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</si>
  <si>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</si>
  <si>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</si>
  <si>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1550</t>
  </si>
  <si>
    <t>171</t>
  </si>
  <si>
    <t>3100</t>
  </si>
  <si>
    <t>172</t>
  </si>
  <si>
    <t>weapProjExposion_t</t>
  </si>
  <si>
    <t>flash</t>
  </si>
  <si>
    <t>dud</t>
  </si>
  <si>
    <t>heavy</t>
  </si>
  <si>
    <t>fire</t>
  </si>
  <si>
    <t>napalm</t>
  </si>
  <si>
    <t>bolt</t>
  </si>
  <si>
    <t>shrapnel</t>
  </si>
  <si>
    <t>dmgduration</t>
  </si>
  <si>
    <t>dmginterval</t>
  </si>
  <si>
    <t>chargemaxtime</t>
  </si>
  <si>
    <t>chargemaxlvl</t>
  </si>
  <si>
    <t>holdfiretime</t>
  </si>
  <si>
    <t>isbolt</t>
  </si>
  <si>
    <t>numshotsbeforerechamber</t>
  </si>
  <si>
    <t>stackfire</t>
  </si>
  <si>
    <t>200</t>
  </si>
  <si>
    <t>416</t>
  </si>
  <si>
    <t>3</t>
  </si>
  <si>
    <t>1900</t>
  </si>
  <si>
    <t>600</t>
  </si>
  <si>
    <t>5</t>
  </si>
  <si>
    <t>shotcount</t>
  </si>
  <si>
    <t>briflebullet</t>
  </si>
  <si>
    <t>bdw</t>
  </si>
  <si>
    <t>burstcount</t>
  </si>
  <si>
    <t>burstdelaytime</t>
  </si>
  <si>
    <t>buseasmelee</t>
  </si>
  <si>
    <t>segmentedreload</t>
  </si>
  <si>
    <t>reloadstarttime</t>
  </si>
  <si>
    <t>clipsize</t>
  </si>
  <si>
    <t>1100</t>
  </si>
  <si>
    <t>bfueltank</t>
  </si>
  <si>
    <t>fueltime</t>
  </si>
  <si>
    <t>dwindex</t>
  </si>
  <si>
    <t>30</t>
  </si>
  <si>
    <t>40</t>
  </si>
  <si>
    <t>80</t>
  </si>
  <si>
    <t>48</t>
  </si>
  <si>
    <t>8</t>
  </si>
  <si>
    <t>16</t>
  </si>
  <si>
    <t>25</t>
  </si>
  <si>
    <t>32</t>
  </si>
  <si>
    <t>12</t>
  </si>
  <si>
    <t>18</t>
  </si>
  <si>
    <t>realoadammoadd</t>
  </si>
  <si>
    <t>64</t>
  </si>
  <si>
    <t>999</t>
  </si>
  <si>
    <t>doubletap</t>
  </si>
  <si>
    <t>setting</t>
  </si>
  <si>
    <t>value</t>
  </si>
  <si>
    <t>burst_dps_bottom</t>
  </si>
  <si>
    <t>burst_dps_top</t>
  </si>
  <si>
    <t>head_dps_bottom</t>
  </si>
  <si>
    <t>head_dps_top</t>
  </si>
  <si>
    <t>stat</t>
  </si>
  <si>
    <t>reg_burst_dps_av</t>
  </si>
  <si>
    <t>reg_head_burst_dps_av</t>
  </si>
  <si>
    <t>ttk_unpap_r10</t>
  </si>
  <si>
    <t>ttk_unpap_r20</t>
  </si>
  <si>
    <t>ttk_pap_r10</t>
  </si>
  <si>
    <t>ttk_pap_r20</t>
  </si>
  <si>
    <t>ttk_min_r20</t>
  </si>
  <si>
    <t>ttk_max_r20</t>
  </si>
  <si>
    <t>class</t>
  </si>
  <si>
    <t>role</t>
  </si>
  <si>
    <t>pap</t>
  </si>
  <si>
    <t>use</t>
  </si>
  <si>
    <t>bdpss</t>
  </si>
  <si>
    <t>sdpss</t>
  </si>
  <si>
    <t>dtbdpss</t>
  </si>
  <si>
    <t>dtsdpss</t>
  </si>
  <si>
    <t>T</t>
  </si>
  <si>
    <t>bool_t</t>
  </si>
  <si>
    <t>F</t>
  </si>
  <si>
    <t>dmg1</t>
  </si>
  <si>
    <t>dmg2</t>
  </si>
  <si>
    <t>burst_time</t>
  </si>
  <si>
    <t>sustain_time</t>
  </si>
  <si>
    <t>default_flat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</si>
</sst>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1" applyNumberFormat="0" applyAlignment="0" applyProtection="0"/>
  </cellStyleXfs>
  <cellXfs count="3">
    <xf numFmtId="0" fontId="0" fillId="0" borderId="0" xfId="0"/>
    <xf numFmtId="0" fontId="2" fillId="2" borderId="0" xfId="1"/>
    <xf numFmtId="0" fontId="4" fillId="3" borderId="1" xfId="2"/>
  </cellXfs>
  <cellStyles count="3">
    <cellStyle name="20% - Accent1" xfId="1" builtinId="30"/>
    <cellStyle name="Check Cell" xfId="2" builtinId="23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strike/>
        <color theme="0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0</xdr:col>
          <xdr:colOff>942975</xdr:colOff>
          <xdr:row>0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Regenerate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FD9CE92B-2ADD-45A0-9CB9-2A5769AB864C}" autoFormatId="16" applyNumberFormats="0" applyBorderFormats="0" applyFontFormats="0" applyPatternFormats="0" applyAlignmentFormats="0" applyWidthHeightFormats="0">
  <queryTableRefresh nextId="3">
    <queryTableFields count="2">
      <queryTableField id="1" name="setting" tableColumnId="1"/>
      <queryTableField id="2" name="value" tableColumnId="2"/>
    </queryTableFields>
  </queryTableRefresh>
  <extLst>
    <ext xmlns:x15="http://schemas.microsoft.com/office/spreadsheetml/2010/11/main" uri="{883FBD77-0823-4a55-B5E3-86C4891E6966}">
      <x15:queryTable sourceDataName="Query - __setting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F2A21D85-792A-4021-A5D1-1EB1D312C1A7}" autoFormatId="16" applyNumberFormats="0" applyBorderFormats="0" applyFontFormats="0" applyPatternFormats="0" applyAlignmentFormats="0" applyWidthHeightFormats="0">
  <queryTableRefresh nextId="38">
    <queryTableFields count="31">
      <queryTableField id="1" name="name" tableColumnId="1"/>
      <queryTableField id="2" name="damage" tableColumnId="2"/>
      <queryTableField id="3" name="firetype" tableColumnId="3"/>
      <queryTableField id="4" name="weaptype" tableColumnId="4"/>
      <queryTableField id="5" name="weapclass" tableColumnId="5"/>
      <queryTableField id="6" name="index" tableColumnId="6"/>
      <queryTableField id="7" name="altindex" tableColumnId="7"/>
      <queryTableField id="8" name="projexplode" tableColumnId="8"/>
      <queryTableField id="9" name="innerexpdmg" tableColumnId="9"/>
      <queryTableField id="10" name="outerexpdmg" tableColumnId="10"/>
      <queryTableField id="11" name="dmgduration" tableColumnId="11"/>
      <queryTableField id="12" name="dmginterval" tableColumnId="12"/>
      <queryTableField id="21" name="shotcount" tableColumnId="21"/>
      <queryTableField id="22" name="briflebullet" tableColumnId="22"/>
      <queryTableField id="23" name="bdw" tableColumnId="23"/>
      <queryTableField id="15" name="chargemaxtime" tableColumnId="15"/>
      <queryTableField id="16" name="chargemaxlvl" tableColumnId="16"/>
      <queryTableField id="17" name="holdfiretime" tableColumnId="17"/>
      <queryTableField id="18" name="isbolt" tableColumnId="18"/>
      <queryTableField id="19" name="numshotsbeforerechamber" tableColumnId="19"/>
      <queryTableField id="20" name="stackfire" tableColumnId="20"/>
      <queryTableField id="27" name="burstcount" tableColumnId="24"/>
      <queryTableField id="28" name="burstdelaytime" tableColumnId="25"/>
      <queryTableField id="29" name="buseasmelee" tableColumnId="26"/>
      <queryTableField id="30" name="segmentedreload" tableColumnId="27"/>
      <queryTableField id="31" name="reloadstarttime" tableColumnId="28"/>
      <queryTableField id="32" name="clipsize" tableColumnId="29"/>
      <queryTableField id="36" name="realoadammoadd" tableColumnId="33"/>
      <queryTableField id="33" name="bfueltank" tableColumnId="30"/>
      <queryTableField id="34" name="fueltime" tableColumnId="31"/>
      <queryTableField id="35" name="dwindex" tableColumnId="32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B60879-F3AC-4351-B46B-E7AB75DC5353}" name="weapFireType_t" displayName="weapFireType_t" ref="A1:A14" totalsRowShown="0">
  <autoFilter ref="A1:A14" xr:uid="{FAB60879-F3AC-4351-B46B-E7AB75DC5353}"/>
  <tableColumns count="1">
    <tableColumn id="1" xr3:uid="{742E89DB-5D28-4902-9136-2F7D8C18A25F}" name="weapFireType_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F46498-9C0B-4184-895D-2580A919F641}" name="weapType_t" displayName="weapType_t" ref="B1:B10" totalsRowShown="0">
  <autoFilter ref="B1:B10" xr:uid="{E3F46498-9C0B-4184-895D-2580A919F641}"/>
  <tableColumns count="1">
    <tableColumn id="1" xr3:uid="{9730D756-42D9-445A-AFDB-4CC6FF98E82F}" name="weapType_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5BF24A-2FDE-4182-9AA2-85B7B1234C95}" name="weapClass_t" displayName="weapClass_t" ref="C1:C16" totalsRowShown="0">
  <autoFilter ref="C1:C16" xr:uid="{C55BF24A-2FDE-4182-9AA2-85B7B1234C95}"/>
  <tableColumns count="1">
    <tableColumn id="1" xr3:uid="{984DC8AD-6092-47AD-9600-7373F5BB7C7D}" name="weapClass_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415787-EE5A-4646-83A9-A92A86115981}" name="weapProjExposion_t" displayName="weapProjExposion_t" ref="D1:D12" totalsRowShown="0">
  <autoFilter ref="D1:D12" xr:uid="{1D415787-EE5A-4646-83A9-A92A86115981}"/>
  <tableColumns count="1">
    <tableColumn id="1" xr3:uid="{EE5D639F-12FD-4817-8C5E-FDB21AABBA20}" name="weapProjExposion_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5EC456-722D-4267-A55A-B3E99F23D931}" name="Table7" displayName="Table7" ref="I1:J9" totalsRowShown="0">
  <autoFilter ref="I1:J9" xr:uid="{FB5EC456-722D-4267-A55A-B3E99F23D931}"/>
  <tableColumns count="2">
    <tableColumn id="1" xr3:uid="{006C85AF-1EC7-48BF-BE5E-027811E3B9D9}" name="stat"/>
    <tableColumn id="2" xr3:uid="{055DB0A2-A791-4FE1-AED1-1812A70D4180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218C23-0321-42F3-A877-DAE89C0A829C}" name="__settings" displayName="__settings" ref="F1:G8" tableType="queryTable" totalsRowShown="0">
  <autoFilter ref="F1:G8" xr:uid="{B5218C23-0321-42F3-A877-DAE89C0A829C}"/>
  <tableColumns count="2">
    <tableColumn id="1" xr3:uid="{645665FB-059F-43A3-A2D8-67D6128C057B}" uniqueName="1" name="setting" queryTableFieldId="1" dataDxfId="33"/>
    <tableColumn id="2" xr3:uid="{37F45532-1036-42AB-A07A-370481C7E90B}" uniqueName="2" name="value" queryTableField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83A30F-4EAE-4BC8-9285-67C7D573294A}" name="bool_t" displayName="bool_t" ref="A16:A18" totalsRowShown="0">
  <autoFilter ref="A16:A18" xr:uid="{C783A30F-4EAE-4BC8-9285-67C7D573294A}"/>
  <tableColumns count="1">
    <tableColumn id="1" xr3:uid="{3EDA2C15-89CB-4F8B-B052-75FB202F1C6D}" name="bool_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FBFBFB-B9FD-4346-BC00-CA28F23112BF}" name="core_test" displayName="core_test" ref="A1:AE137" tableType="queryTable" totalsRowShown="0">
  <autoFilter ref="A1:AE137" xr:uid="{4CFBFBFB-B9FD-4346-BC00-CA28F23112BF}"/>
  <tableColumns count="31">
    <tableColumn id="1" xr3:uid="{0D182256-CA14-45E5-85A7-67E60EE200CF}" uniqueName="1" name="name" queryTableFieldId="1" dataDxfId="32"/>
    <tableColumn id="2" xr3:uid="{AE40B683-4D8E-42A3-A197-9A7C9FFA6B3F}" uniqueName="2" name="damage" queryTableFieldId="2"/>
    <tableColumn id="3" xr3:uid="{EF1DD415-E0DE-4B97-8E63-50593D588A60}" uniqueName="3" name="firetype" queryTableFieldId="3" dataDxfId="31"/>
    <tableColumn id="4" xr3:uid="{8C8D8C0C-4579-4B65-A903-FE43954DE07F}" uniqueName="4" name="weaptype" queryTableFieldId="4" dataDxfId="30"/>
    <tableColumn id="5" xr3:uid="{21C78E32-EEF5-4A7C-8913-3C5F66DF0EBA}" uniqueName="5" name="weapclass" queryTableFieldId="5" dataDxfId="29"/>
    <tableColumn id="6" xr3:uid="{9ACC0F84-0AE9-4781-B51D-33E53C56B879}" uniqueName="6" name="index" queryTableFieldId="6" dataDxfId="28"/>
    <tableColumn id="7" xr3:uid="{991D538D-A7DD-47E5-9D7C-3DE8F7E3C3F2}" uniqueName="7" name="altindex" queryTableFieldId="7" dataDxfId="27"/>
    <tableColumn id="8" xr3:uid="{FCF8FB41-F149-4B7F-9A0C-BE081F688DC4}" uniqueName="8" name="projexplode" queryTableFieldId="8" dataDxfId="26"/>
    <tableColumn id="9" xr3:uid="{8ED49FBB-A193-4D8F-98F2-358563337744}" uniqueName="9" name="innerexpdmg" queryTableFieldId="9" dataDxfId="25"/>
    <tableColumn id="10" xr3:uid="{8FD5091A-2371-41DD-B1A5-F086A2BAFB83}" uniqueName="10" name="outerexpdmg" queryTableFieldId="10" dataDxfId="24"/>
    <tableColumn id="11" xr3:uid="{F9B1940D-97A2-458E-8099-5A37F368709C}" uniqueName="11" name="dmgduration" queryTableFieldId="11" dataDxfId="23"/>
    <tableColumn id="12" xr3:uid="{78EA4C95-B858-4CDE-A1FB-F29CC8ABF536}" uniqueName="12" name="dmginterval" queryTableFieldId="12" dataDxfId="22"/>
    <tableColumn id="21" xr3:uid="{74A431FC-A011-40BD-A72E-EB3470827DD9}" uniqueName="21" name="shotcount" queryTableFieldId="21" dataDxfId="21"/>
    <tableColumn id="22" xr3:uid="{0F746218-78E8-4562-A64A-53EAD931D53F}" uniqueName="22" name="briflebullet" queryTableFieldId="22" dataDxfId="20"/>
    <tableColumn id="23" xr3:uid="{6DB79E7B-9299-4BCB-9D6C-A378838E8DEB}" uniqueName="23" name="bdw" queryTableFieldId="23" dataDxfId="19"/>
    <tableColumn id="15" xr3:uid="{6CABFA82-819A-4CCA-A1B8-C5242EBC84F9}" uniqueName="15" name="chargemaxtime" queryTableFieldId="15" dataDxfId="18"/>
    <tableColumn id="16" xr3:uid="{284B4344-7CC4-457C-8BBD-7E3E98D2DE0B}" uniqueName="16" name="chargemaxlvl" queryTableFieldId="16" dataDxfId="17"/>
    <tableColumn id="17" xr3:uid="{E691FC74-DA8D-420B-9E6B-D90E0F10DDF8}" uniqueName="17" name="holdfiretime" queryTableFieldId="17" dataDxfId="16"/>
    <tableColumn id="18" xr3:uid="{8B903D98-40D8-4C72-B28C-CC96FEF56BD5}" uniqueName="18" name="isbolt" queryTableFieldId="18" dataDxfId="15"/>
    <tableColumn id="19" xr3:uid="{AB76620C-7BAA-457C-A166-594BC5175810}" uniqueName="19" name="numshotsbeforerechamber" queryTableFieldId="19" dataDxfId="14"/>
    <tableColumn id="20" xr3:uid="{6F37842B-E7C4-4DBB-A8D7-5515771DD6AA}" uniqueName="20" name="stackfire" queryTableFieldId="20" dataDxfId="13"/>
    <tableColumn id="24" xr3:uid="{6C3DA37B-8038-425B-925A-BAB9B8F56DF4}" uniqueName="24" name="burstcount" queryTableFieldId="27" dataDxfId="12"/>
    <tableColumn id="25" xr3:uid="{79BCD25B-732A-4B63-9998-9FEE17C033DE}" uniqueName="25" name="burstdelaytime" queryTableFieldId="28" dataDxfId="11"/>
    <tableColumn id="26" xr3:uid="{CDB1E6AE-5D71-4B92-85AC-1767DF27D901}" uniqueName="26" name="buseasmelee" queryTableFieldId="29" dataDxfId="10"/>
    <tableColumn id="27" xr3:uid="{72862DF3-12CD-4E64-80B5-D1F243BB9177}" uniqueName="27" name="segmentedreload" queryTableFieldId="30" dataDxfId="9"/>
    <tableColumn id="28" xr3:uid="{56A3DAC4-6B11-45AB-9B0E-0EC20CDBE2CF}" uniqueName="28" name="reloadstarttime" queryTableFieldId="31" dataDxfId="8"/>
    <tableColumn id="29" xr3:uid="{12079A95-6FF8-4AEA-90D7-A0BF5B49DF8E}" uniqueName="29" name="clipsize" queryTableFieldId="32" dataDxfId="7"/>
    <tableColumn id="33" xr3:uid="{BABE00CC-4192-44B2-A4C8-6570EEE9B015}" uniqueName="33" name="realoadammoadd" queryTableFieldId="36" dataDxfId="6"/>
    <tableColumn id="30" xr3:uid="{EC82C335-B6AC-484C-A24E-2180FBF4BCAB}" uniqueName="30" name="bfueltank" queryTableFieldId="33" dataDxfId="5"/>
    <tableColumn id="31" xr3:uid="{923EAA03-8BE3-425B-BBF5-CDE0EBB37BF4}" uniqueName="31" name="fueltime" queryTableFieldId="34" dataDxfId="4"/>
    <tableColumn id="32" xr3:uid="{37123609-E1FC-4725-B749-870A5B2D7152}" uniqueName="32" name="dwindex" queryTableFieldId="3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A456B-43BC-42D8-9FC9-A526BE23BB02}">
  <sheetPr codeName="Sheet1"/>
  <dimension ref="A1:J18"/>
  <sheetViews>
    <sheetView workbookViewId="0">
      <selection activeCell="A3" sqref="A3"/>
    </sheetView>
  </sheetViews>
  <sheetFormatPr defaultRowHeight="15" x14ac:dyDescent="0.25"/>
  <cols>
    <col min="1" max="1" width="17.140625" customWidth="1"/>
    <col min="2" max="2" width="13.7109375" customWidth="1"/>
    <col min="3" max="3" width="14.42578125" customWidth="1"/>
    <col min="4" max="4" width="21.28515625" customWidth="1"/>
    <col min="6" max="6" width="17.140625" bestFit="1" customWidth="1"/>
    <col min="7" max="7" width="8.140625" bestFit="1" customWidth="1"/>
    <col min="8" max="8" width="27.85546875" customWidth="1"/>
    <col min="9" max="9" width="41.28515625" customWidth="1"/>
    <col min="10" max="10" width="25.140625" customWidth="1"/>
  </cols>
  <sheetData>
    <row r="1" spans="1:10" x14ac:dyDescent="0.25">
      <c r="A1" t="s">
        <v>18</v>
      </c>
      <c r="B1" t="s">
        <v>19</v>
      </c>
      <c r="C1" t="s">
        <v>27</v>
      </c>
      <c r="D1" t="s">
        <v>339</v>
      </c>
      <c r="F1" t="s">
        <v>388</v>
      </c>
      <c r="G1" t="s">
        <v>389</v>
      </c>
      <c r="I1" t="s">
        <v>394</v>
      </c>
      <c r="J1" t="s">
        <v>389</v>
      </c>
    </row>
    <row r="2" spans="1:10" x14ac:dyDescent="0.25">
      <c r="A2" t="s">
        <v>6</v>
      </c>
      <c r="B2" t="s">
        <v>5</v>
      </c>
      <c r="C2" t="s">
        <v>28</v>
      </c>
      <c r="D2" t="s">
        <v>164</v>
      </c>
      <c r="F2" t="s">
        <v>387</v>
      </c>
      <c r="G2">
        <v>1.333</v>
      </c>
      <c r="I2" t="s">
        <v>395</v>
      </c>
      <c r="J2">
        <f>ROUND((G3 + G4 ) / 4,2)</f>
        <v>12500</v>
      </c>
    </row>
    <row r="3" spans="1:10" x14ac:dyDescent="0.25">
      <c r="A3" t="s">
        <v>7</v>
      </c>
      <c r="B3" t="s">
        <v>20</v>
      </c>
      <c r="C3" t="s">
        <v>29</v>
      </c>
      <c r="D3" t="s">
        <v>20</v>
      </c>
      <c r="F3" t="s">
        <v>390</v>
      </c>
      <c r="G3">
        <v>20000</v>
      </c>
      <c r="I3" t="s">
        <v>396</v>
      </c>
      <c r="J3">
        <f>ROUND((G5+G8) / 4,2)</f>
        <v>10003</v>
      </c>
    </row>
    <row r="4" spans="1:10" x14ac:dyDescent="0.25">
      <c r="A4" t="s">
        <v>4</v>
      </c>
      <c r="B4" t="s">
        <v>21</v>
      </c>
      <c r="C4" t="s">
        <v>30</v>
      </c>
      <c r="D4" t="s">
        <v>244</v>
      </c>
      <c r="F4" t="s">
        <v>391</v>
      </c>
      <c r="G4">
        <v>30000</v>
      </c>
      <c r="I4" t="s">
        <v>397</v>
      </c>
      <c r="J4">
        <f>ROUND(10000/(J2/3*2),2)</f>
        <v>1.2</v>
      </c>
    </row>
    <row r="5" spans="1:10" x14ac:dyDescent="0.25">
      <c r="A5" t="s">
        <v>8</v>
      </c>
      <c r="B5" t="s">
        <v>22</v>
      </c>
      <c r="C5" t="s">
        <v>31</v>
      </c>
      <c r="D5" t="s">
        <v>340</v>
      </c>
      <c r="F5" t="s">
        <v>392</v>
      </c>
      <c r="G5">
        <v>40000</v>
      </c>
      <c r="I5" t="s">
        <v>398</v>
      </c>
      <c r="J5">
        <f>ROUND(100000/J2,2)</f>
        <v>8</v>
      </c>
    </row>
    <row r="6" spans="1:10" x14ac:dyDescent="0.25">
      <c r="A6" t="s">
        <v>9</v>
      </c>
      <c r="B6" t="s">
        <v>23</v>
      </c>
      <c r="C6" t="s">
        <v>32</v>
      </c>
      <c r="D6" t="s">
        <v>341</v>
      </c>
      <c r="F6" t="s">
        <v>393</v>
      </c>
      <c r="G6">
        <v>70000</v>
      </c>
      <c r="I6" t="s">
        <v>399</v>
      </c>
      <c r="J6">
        <f>ROUND(10000/((G3+G4)/2/3*2),2)</f>
        <v>0.6</v>
      </c>
    </row>
    <row r="7" spans="1:10" x14ac:dyDescent="0.25">
      <c r="A7" t="s">
        <v>10</v>
      </c>
      <c r="B7" t="s">
        <v>24</v>
      </c>
      <c r="C7" t="s">
        <v>20</v>
      </c>
      <c r="D7" t="s">
        <v>315</v>
      </c>
      <c r="F7" t="s">
        <v>416</v>
      </c>
      <c r="G7">
        <v>4</v>
      </c>
      <c r="I7" t="s">
        <v>400</v>
      </c>
      <c r="J7">
        <f>ROUND(100000/((G3+G4)/2),2)</f>
        <v>4</v>
      </c>
    </row>
    <row r="8" spans="1:10" x14ac:dyDescent="0.25">
      <c r="A8" t="s">
        <v>11</v>
      </c>
      <c r="B8" t="s">
        <v>25</v>
      </c>
      <c r="C8" t="s">
        <v>33</v>
      </c>
      <c r="D8" t="s">
        <v>342</v>
      </c>
      <c r="F8" t="s">
        <v>417</v>
      </c>
      <c r="G8">
        <v>12</v>
      </c>
      <c r="I8" t="s">
        <v>401</v>
      </c>
      <c r="J8">
        <f>ROUND(100000/(G3/2),2)</f>
        <v>10</v>
      </c>
    </row>
    <row r="9" spans="1:10" x14ac:dyDescent="0.25">
      <c r="A9" t="s">
        <v>12</v>
      </c>
      <c r="B9" t="s">
        <v>16</v>
      </c>
      <c r="C9" t="s">
        <v>34</v>
      </c>
      <c r="D9" t="s">
        <v>343</v>
      </c>
      <c r="I9" t="s">
        <v>402</v>
      </c>
      <c r="J9">
        <f>ROUND(100000/G8,2)</f>
        <v>8333.33</v>
      </c>
    </row>
    <row r="10" spans="1:10" x14ac:dyDescent="0.25">
      <c r="A10" t="s">
        <v>13</v>
      </c>
      <c r="B10" t="s">
        <v>26</v>
      </c>
      <c r="C10" t="s">
        <v>35</v>
      </c>
      <c r="D10" t="s">
        <v>344</v>
      </c>
    </row>
    <row r="11" spans="1:10" x14ac:dyDescent="0.25">
      <c r="A11" t="s">
        <v>14</v>
      </c>
      <c r="C11" t="s">
        <v>23</v>
      </c>
      <c r="D11" t="s">
        <v>345</v>
      </c>
    </row>
    <row r="12" spans="1:10" x14ac:dyDescent="0.25">
      <c r="A12" t="s">
        <v>15</v>
      </c>
      <c r="C12" t="s">
        <v>36</v>
      </c>
      <c r="D12" t="s">
        <v>346</v>
      </c>
    </row>
    <row r="13" spans="1:10" x14ac:dyDescent="0.25">
      <c r="A13" t="s">
        <v>16</v>
      </c>
      <c r="C13" t="s">
        <v>16</v>
      </c>
    </row>
    <row r="14" spans="1:10" x14ac:dyDescent="0.25">
      <c r="A14" t="s">
        <v>17</v>
      </c>
      <c r="C14" t="s">
        <v>37</v>
      </c>
    </row>
    <row r="15" spans="1:10" x14ac:dyDescent="0.25">
      <c r="C15" t="s">
        <v>38</v>
      </c>
    </row>
    <row r="16" spans="1:10" x14ac:dyDescent="0.25">
      <c r="A16" t="s">
        <v>412</v>
      </c>
      <c r="C16" t="s">
        <v>39</v>
      </c>
    </row>
    <row r="17" spans="1:1" x14ac:dyDescent="0.25">
      <c r="A17" t="s">
        <v>413</v>
      </c>
    </row>
    <row r="18" spans="1:1" x14ac:dyDescent="0.25">
      <c r="A18" t="s">
        <v>411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F63D5-9E59-4763-BC65-BBAA2E779BC5}">
  <sheetPr codeName="Sheet2"/>
  <dimension ref="A1:AE137"/>
  <sheetViews>
    <sheetView tabSelected="1" workbookViewId="0">
      <pane ySplit="1" topLeftCell="A27" activePane="bottomLeft" state="frozen"/>
      <selection pane="bottomLeft" activeCell="Y11" sqref="Y11"/>
    </sheetView>
  </sheetViews>
  <sheetFormatPr defaultRowHeight="15" x14ac:dyDescent="0.25"/>
  <cols>
    <col min="1" max="1" width="43" bestFit="1" customWidth="1"/>
    <col min="2" max="2" width="10.28515625" bestFit="1" customWidth="1"/>
    <col min="3" max="3" width="10.42578125" bestFit="1" customWidth="1"/>
    <col min="4" max="4" width="12" bestFit="1" customWidth="1"/>
    <col min="5" max="5" width="14.42578125" bestFit="1" customWidth="1"/>
    <col min="6" max="6" width="8.28515625" bestFit="1" customWidth="1"/>
    <col min="7" max="7" width="10.5703125" bestFit="1" customWidth="1"/>
    <col min="8" max="8" width="14.140625" bestFit="1" customWidth="1"/>
    <col min="9" max="9" width="15" customWidth="1"/>
    <col min="10" max="10" width="15.42578125" bestFit="1" customWidth="1"/>
    <col min="11" max="11" width="14.7109375" bestFit="1" customWidth="1"/>
    <col min="12" max="12" width="14" bestFit="1" customWidth="1"/>
    <col min="13" max="13" width="12.42578125" bestFit="1" customWidth="1"/>
    <col min="14" max="14" width="13.42578125" bestFit="1" customWidth="1"/>
    <col min="15" max="15" width="7" bestFit="1" customWidth="1"/>
    <col min="16" max="16" width="17.28515625" bestFit="1" customWidth="1"/>
    <col min="17" max="17" width="15.140625" bestFit="1" customWidth="1"/>
    <col min="18" max="18" width="14.5703125" bestFit="1" customWidth="1"/>
    <col min="19" max="19" width="8.42578125" bestFit="1" customWidth="1"/>
    <col min="20" max="20" width="28.5703125" bestFit="1" customWidth="1"/>
    <col min="21" max="21" width="11.140625" bestFit="1" customWidth="1"/>
    <col min="22" max="22" width="13.140625" bestFit="1" customWidth="1"/>
    <col min="23" max="23" width="17.140625" bestFit="1" customWidth="1"/>
    <col min="24" max="24" width="15.5703125" bestFit="1" customWidth="1"/>
    <col min="25" max="25" width="19.28515625" bestFit="1" customWidth="1"/>
    <col min="26" max="26" width="17.42578125" bestFit="1" customWidth="1"/>
    <col min="27" max="27" width="10.140625" bestFit="1" customWidth="1"/>
    <col min="28" max="28" width="19" bestFit="1" customWidth="1"/>
    <col min="29" max="29" width="11.85546875" bestFit="1" customWidth="1"/>
    <col min="30" max="30" width="11" bestFit="1" customWidth="1"/>
    <col min="31" max="31" width="10.85546875" bestFit="1" customWidth="1"/>
    <col min="32" max="32" width="28.5703125" bestFit="1" customWidth="1"/>
    <col min="33" max="33" width="11.140625" bestFit="1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347</v>
      </c>
      <c r="L1" t="s">
        <v>348</v>
      </c>
      <c r="M1" t="s">
        <v>361</v>
      </c>
      <c r="N1" t="s">
        <v>362</v>
      </c>
      <c r="O1" t="s">
        <v>363</v>
      </c>
      <c r="P1" t="s">
        <v>349</v>
      </c>
      <c r="Q1" t="s">
        <v>350</v>
      </c>
      <c r="R1" t="s">
        <v>351</v>
      </c>
      <c r="S1" t="s">
        <v>352</v>
      </c>
      <c r="T1" t="s">
        <v>353</v>
      </c>
      <c r="U1" t="s">
        <v>354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384</v>
      </c>
      <c r="AC1" t="s">
        <v>371</v>
      </c>
      <c r="AD1" t="s">
        <v>372</v>
      </c>
      <c r="AE1" t="s">
        <v>373</v>
      </c>
    </row>
    <row r="2" spans="1:31" x14ac:dyDescent="0.25">
      <c r="A2" t="s">
        <v>164</v>
      </c>
      <c r="B2">
        <v>0</v>
      </c>
      <c r="C2" t="s">
        <v>6</v>
      </c>
      <c r="D2" t="s">
        <v>5</v>
      </c>
      <c r="E2" t="s">
        <v>28</v>
      </c>
      <c r="F2" t="s">
        <v>182</v>
      </c>
      <c r="G2" t="s">
        <v>182</v>
      </c>
      <c r="H2" t="s">
        <v>164</v>
      </c>
      <c r="I2" t="s">
        <v>182</v>
      </c>
      <c r="J2" t="s">
        <v>182</v>
      </c>
      <c r="K2" t="s">
        <v>182</v>
      </c>
      <c r="L2" t="s">
        <v>182</v>
      </c>
      <c r="M2" t="s">
        <v>182</v>
      </c>
      <c r="N2" t="s">
        <v>182</v>
      </c>
      <c r="O2" t="s">
        <v>182</v>
      </c>
      <c r="P2" t="s">
        <v>182</v>
      </c>
      <c r="Q2" t="s">
        <v>182</v>
      </c>
      <c r="R2" t="s">
        <v>182</v>
      </c>
      <c r="S2" t="s">
        <v>182</v>
      </c>
      <c r="T2" t="s">
        <v>182</v>
      </c>
      <c r="U2" t="s">
        <v>182</v>
      </c>
      <c r="V2" t="s">
        <v>182</v>
      </c>
      <c r="W2" t="s">
        <v>182</v>
      </c>
      <c r="X2" t="s">
        <v>182</v>
      </c>
      <c r="Y2" t="s">
        <v>182</v>
      </c>
      <c r="Z2" t="s">
        <v>182</v>
      </c>
      <c r="AA2" t="s">
        <v>182</v>
      </c>
      <c r="AB2" t="s">
        <v>182</v>
      </c>
      <c r="AC2" t="s">
        <v>182</v>
      </c>
      <c r="AD2" t="s">
        <v>182</v>
      </c>
      <c r="AE2" t="s">
        <v>182</v>
      </c>
    </row>
    <row r="3" spans="1:31" x14ac:dyDescent="0.25">
      <c r="A3" t="s">
        <v>74</v>
      </c>
      <c r="B3">
        <v>100</v>
      </c>
      <c r="C3" t="s">
        <v>6</v>
      </c>
      <c r="D3" t="s">
        <v>5</v>
      </c>
      <c r="E3" t="s">
        <v>28</v>
      </c>
      <c r="F3" t="s">
        <v>183</v>
      </c>
      <c r="G3" t="s">
        <v>182</v>
      </c>
      <c r="H3" t="s">
        <v>164</v>
      </c>
      <c r="I3" t="s">
        <v>182</v>
      </c>
      <c r="J3" t="s">
        <v>182</v>
      </c>
      <c r="K3" t="s">
        <v>182</v>
      </c>
      <c r="L3" t="s">
        <v>182</v>
      </c>
      <c r="M3" t="s">
        <v>183</v>
      </c>
      <c r="N3" t="s">
        <v>182</v>
      </c>
      <c r="O3" t="s">
        <v>182</v>
      </c>
      <c r="P3" t="s">
        <v>182</v>
      </c>
      <c r="Q3" t="s">
        <v>182</v>
      </c>
      <c r="R3" t="s">
        <v>251</v>
      </c>
      <c r="S3" t="s">
        <v>182</v>
      </c>
      <c r="T3" t="s">
        <v>182</v>
      </c>
      <c r="U3" t="s">
        <v>182</v>
      </c>
      <c r="V3" t="s">
        <v>183</v>
      </c>
      <c r="W3" t="s">
        <v>355</v>
      </c>
      <c r="X3" t="s">
        <v>182</v>
      </c>
      <c r="Y3" t="s">
        <v>182</v>
      </c>
      <c r="Z3" t="s">
        <v>182</v>
      </c>
      <c r="AA3" t="s">
        <v>256</v>
      </c>
      <c r="AB3" t="s">
        <v>360</v>
      </c>
      <c r="AC3" t="s">
        <v>182</v>
      </c>
      <c r="AD3" t="s">
        <v>182</v>
      </c>
      <c r="AE3" t="s">
        <v>182</v>
      </c>
    </row>
    <row r="4" spans="1:31" x14ac:dyDescent="0.25">
      <c r="A4" t="s">
        <v>138</v>
      </c>
      <c r="B4">
        <v>100</v>
      </c>
      <c r="C4" t="s">
        <v>6</v>
      </c>
      <c r="D4" t="s">
        <v>5</v>
      </c>
      <c r="E4" t="s">
        <v>30</v>
      </c>
      <c r="F4" t="s">
        <v>184</v>
      </c>
      <c r="G4" t="s">
        <v>182</v>
      </c>
      <c r="H4" t="s">
        <v>164</v>
      </c>
      <c r="I4" t="s">
        <v>182</v>
      </c>
      <c r="J4" t="s">
        <v>182</v>
      </c>
      <c r="K4" t="s">
        <v>182</v>
      </c>
      <c r="L4" t="s">
        <v>182</v>
      </c>
      <c r="M4" t="s">
        <v>183</v>
      </c>
      <c r="N4" t="s">
        <v>182</v>
      </c>
      <c r="O4" t="s">
        <v>182</v>
      </c>
      <c r="P4" t="s">
        <v>182</v>
      </c>
      <c r="Q4" t="s">
        <v>182</v>
      </c>
      <c r="R4" t="s">
        <v>251</v>
      </c>
      <c r="S4" t="s">
        <v>182</v>
      </c>
      <c r="T4" t="s">
        <v>182</v>
      </c>
      <c r="U4" t="s">
        <v>182</v>
      </c>
      <c r="V4" t="s">
        <v>183</v>
      </c>
      <c r="W4" t="s">
        <v>182</v>
      </c>
      <c r="X4" t="s">
        <v>182</v>
      </c>
      <c r="Y4" t="s">
        <v>182</v>
      </c>
      <c r="Z4" t="s">
        <v>182</v>
      </c>
      <c r="AA4" t="s">
        <v>374</v>
      </c>
      <c r="AB4" t="s">
        <v>182</v>
      </c>
      <c r="AC4" t="s">
        <v>182</v>
      </c>
      <c r="AD4" t="s">
        <v>251</v>
      </c>
      <c r="AE4" t="s">
        <v>182</v>
      </c>
    </row>
    <row r="5" spans="1:31" x14ac:dyDescent="0.25">
      <c r="A5" t="s">
        <v>172</v>
      </c>
      <c r="B5">
        <v>95</v>
      </c>
      <c r="C5" t="s">
        <v>6</v>
      </c>
      <c r="D5" t="s">
        <v>5</v>
      </c>
      <c r="E5" t="s">
        <v>30</v>
      </c>
      <c r="F5" t="s">
        <v>185</v>
      </c>
      <c r="G5" t="s">
        <v>182</v>
      </c>
      <c r="H5" t="s">
        <v>164</v>
      </c>
      <c r="I5" t="s">
        <v>182</v>
      </c>
      <c r="J5" t="s">
        <v>182</v>
      </c>
      <c r="K5" t="s">
        <v>182</v>
      </c>
      <c r="L5" t="s">
        <v>182</v>
      </c>
      <c r="M5" t="s">
        <v>183</v>
      </c>
      <c r="N5" t="s">
        <v>182</v>
      </c>
      <c r="O5" t="s">
        <v>182</v>
      </c>
      <c r="P5" t="s">
        <v>182</v>
      </c>
      <c r="Q5" t="s">
        <v>182</v>
      </c>
      <c r="R5" t="s">
        <v>251</v>
      </c>
      <c r="S5" t="s">
        <v>182</v>
      </c>
      <c r="T5" t="s">
        <v>182</v>
      </c>
      <c r="U5" t="s">
        <v>182</v>
      </c>
      <c r="V5" t="s">
        <v>183</v>
      </c>
      <c r="W5" t="s">
        <v>182</v>
      </c>
      <c r="X5" t="s">
        <v>182</v>
      </c>
      <c r="Y5" t="s">
        <v>182</v>
      </c>
      <c r="Z5" t="s">
        <v>182</v>
      </c>
      <c r="AA5" t="s">
        <v>375</v>
      </c>
      <c r="AB5" t="s">
        <v>182</v>
      </c>
      <c r="AC5" t="s">
        <v>182</v>
      </c>
      <c r="AD5" t="s">
        <v>251</v>
      </c>
      <c r="AE5" t="s">
        <v>182</v>
      </c>
    </row>
    <row r="6" spans="1:31" x14ac:dyDescent="0.25">
      <c r="A6" t="s">
        <v>113</v>
      </c>
      <c r="B6">
        <v>150</v>
      </c>
      <c r="C6" t="s">
        <v>6</v>
      </c>
      <c r="D6" t="s">
        <v>5</v>
      </c>
      <c r="E6" t="s">
        <v>28</v>
      </c>
      <c r="F6" t="s">
        <v>186</v>
      </c>
      <c r="G6" t="s">
        <v>182</v>
      </c>
      <c r="H6" t="s">
        <v>164</v>
      </c>
      <c r="I6" t="s">
        <v>182</v>
      </c>
      <c r="J6" t="s">
        <v>182</v>
      </c>
      <c r="K6" t="s">
        <v>182</v>
      </c>
      <c r="L6" t="s">
        <v>182</v>
      </c>
      <c r="M6" t="s">
        <v>183</v>
      </c>
      <c r="N6" t="s">
        <v>183</v>
      </c>
      <c r="O6" t="s">
        <v>182</v>
      </c>
      <c r="P6" t="s">
        <v>182</v>
      </c>
      <c r="Q6" t="s">
        <v>182</v>
      </c>
      <c r="R6" t="s">
        <v>251</v>
      </c>
      <c r="S6" t="s">
        <v>182</v>
      </c>
      <c r="T6" t="s">
        <v>182</v>
      </c>
      <c r="U6" t="s">
        <v>182</v>
      </c>
      <c r="V6" t="s">
        <v>183</v>
      </c>
      <c r="W6" t="s">
        <v>182</v>
      </c>
      <c r="X6" t="s">
        <v>182</v>
      </c>
      <c r="Y6" t="s">
        <v>182</v>
      </c>
      <c r="Z6" t="s">
        <v>182</v>
      </c>
      <c r="AA6" t="s">
        <v>381</v>
      </c>
      <c r="AB6" t="s">
        <v>182</v>
      </c>
      <c r="AC6" t="s">
        <v>182</v>
      </c>
      <c r="AD6" t="s">
        <v>251</v>
      </c>
      <c r="AE6" t="s">
        <v>182</v>
      </c>
    </row>
    <row r="7" spans="1:31" x14ac:dyDescent="0.25">
      <c r="A7" t="s">
        <v>45</v>
      </c>
      <c r="B7">
        <v>110</v>
      </c>
      <c r="C7" t="s">
        <v>6</v>
      </c>
      <c r="D7" t="s">
        <v>5</v>
      </c>
      <c r="E7" t="s">
        <v>30</v>
      </c>
      <c r="F7" t="s">
        <v>187</v>
      </c>
      <c r="G7" t="s">
        <v>182</v>
      </c>
      <c r="H7" t="s">
        <v>164</v>
      </c>
      <c r="I7" t="s">
        <v>182</v>
      </c>
      <c r="J7" t="s">
        <v>182</v>
      </c>
      <c r="K7" t="s">
        <v>182</v>
      </c>
      <c r="L7" t="s">
        <v>182</v>
      </c>
      <c r="M7" t="s">
        <v>183</v>
      </c>
      <c r="N7" t="s">
        <v>182</v>
      </c>
      <c r="O7" t="s">
        <v>182</v>
      </c>
      <c r="P7" t="s">
        <v>182</v>
      </c>
      <c r="Q7" t="s">
        <v>182</v>
      </c>
      <c r="R7" t="s">
        <v>251</v>
      </c>
      <c r="S7" t="s">
        <v>182</v>
      </c>
      <c r="T7" t="s">
        <v>182</v>
      </c>
      <c r="U7" t="s">
        <v>182</v>
      </c>
      <c r="V7" t="s">
        <v>183</v>
      </c>
      <c r="W7" t="s">
        <v>182</v>
      </c>
      <c r="X7" t="s">
        <v>182</v>
      </c>
      <c r="Y7" t="s">
        <v>182</v>
      </c>
      <c r="Z7" t="s">
        <v>182</v>
      </c>
      <c r="AA7" t="s">
        <v>374</v>
      </c>
      <c r="AB7" t="s">
        <v>182</v>
      </c>
      <c r="AC7" t="s">
        <v>182</v>
      </c>
      <c r="AD7" t="s">
        <v>251</v>
      </c>
      <c r="AE7" t="s">
        <v>182</v>
      </c>
    </row>
    <row r="8" spans="1:31" x14ac:dyDescent="0.25">
      <c r="A8" t="s">
        <v>149</v>
      </c>
      <c r="B8">
        <v>80</v>
      </c>
      <c r="C8" t="s">
        <v>8</v>
      </c>
      <c r="D8" t="s">
        <v>5</v>
      </c>
      <c r="E8" t="s">
        <v>30</v>
      </c>
      <c r="F8" t="s">
        <v>188</v>
      </c>
      <c r="G8" t="s">
        <v>182</v>
      </c>
      <c r="H8" t="s">
        <v>164</v>
      </c>
      <c r="I8" t="s">
        <v>182</v>
      </c>
      <c r="J8" t="s">
        <v>182</v>
      </c>
      <c r="K8" t="s">
        <v>182</v>
      </c>
      <c r="L8" t="s">
        <v>182</v>
      </c>
      <c r="M8" t="s">
        <v>183</v>
      </c>
      <c r="N8" t="s">
        <v>182</v>
      </c>
      <c r="O8" t="s">
        <v>182</v>
      </c>
      <c r="P8" t="s">
        <v>182</v>
      </c>
      <c r="Q8" t="s">
        <v>182</v>
      </c>
      <c r="R8" t="s">
        <v>251</v>
      </c>
      <c r="S8" t="s">
        <v>182</v>
      </c>
      <c r="T8" t="s">
        <v>182</v>
      </c>
      <c r="U8" t="s">
        <v>182</v>
      </c>
      <c r="V8" t="s">
        <v>185</v>
      </c>
      <c r="W8" t="s">
        <v>251</v>
      </c>
      <c r="X8" t="s">
        <v>182</v>
      </c>
      <c r="Y8" t="s">
        <v>182</v>
      </c>
      <c r="Z8" t="s">
        <v>182</v>
      </c>
      <c r="AA8" t="s">
        <v>375</v>
      </c>
      <c r="AB8" t="s">
        <v>182</v>
      </c>
      <c r="AC8" t="s">
        <v>182</v>
      </c>
      <c r="AD8" t="s">
        <v>251</v>
      </c>
      <c r="AE8" t="s">
        <v>182</v>
      </c>
    </row>
    <row r="9" spans="1:31" x14ac:dyDescent="0.25">
      <c r="A9" t="s">
        <v>90</v>
      </c>
      <c r="B9">
        <v>90</v>
      </c>
      <c r="C9" t="s">
        <v>6</v>
      </c>
      <c r="D9" t="s">
        <v>5</v>
      </c>
      <c r="E9" t="s">
        <v>30</v>
      </c>
      <c r="F9" t="s">
        <v>189</v>
      </c>
      <c r="G9" t="s">
        <v>182</v>
      </c>
      <c r="H9" t="s">
        <v>164</v>
      </c>
      <c r="I9" t="s">
        <v>182</v>
      </c>
      <c r="J9" t="s">
        <v>182</v>
      </c>
      <c r="K9" t="s">
        <v>182</v>
      </c>
      <c r="L9" t="s">
        <v>182</v>
      </c>
      <c r="M9" t="s">
        <v>183</v>
      </c>
      <c r="N9" t="s">
        <v>182</v>
      </c>
      <c r="O9" t="s">
        <v>182</v>
      </c>
      <c r="P9" t="s">
        <v>182</v>
      </c>
      <c r="Q9" t="s">
        <v>182</v>
      </c>
      <c r="R9" t="s">
        <v>251</v>
      </c>
      <c r="S9" t="s">
        <v>182</v>
      </c>
      <c r="T9" t="s">
        <v>182</v>
      </c>
      <c r="U9" t="s">
        <v>182</v>
      </c>
      <c r="V9" t="s">
        <v>183</v>
      </c>
      <c r="W9" t="s">
        <v>182</v>
      </c>
      <c r="X9" t="s">
        <v>182</v>
      </c>
      <c r="Y9" t="s">
        <v>182</v>
      </c>
      <c r="Z9" t="s">
        <v>182</v>
      </c>
      <c r="AA9" t="s">
        <v>262</v>
      </c>
      <c r="AB9" t="s">
        <v>182</v>
      </c>
      <c r="AC9" t="s">
        <v>182</v>
      </c>
      <c r="AD9" t="s">
        <v>251</v>
      </c>
      <c r="AE9" t="s">
        <v>182</v>
      </c>
    </row>
    <row r="10" spans="1:31" x14ac:dyDescent="0.25">
      <c r="A10" t="s">
        <v>169</v>
      </c>
      <c r="B10">
        <v>150</v>
      </c>
      <c r="C10" t="s">
        <v>6</v>
      </c>
      <c r="D10" t="s">
        <v>5</v>
      </c>
      <c r="E10" t="s">
        <v>30</v>
      </c>
      <c r="F10" t="s">
        <v>190</v>
      </c>
      <c r="G10" t="s">
        <v>182</v>
      </c>
      <c r="H10" t="s">
        <v>164</v>
      </c>
      <c r="I10" t="s">
        <v>182</v>
      </c>
      <c r="J10" t="s">
        <v>182</v>
      </c>
      <c r="K10" t="s">
        <v>182</v>
      </c>
      <c r="L10" t="s">
        <v>182</v>
      </c>
      <c r="M10" t="s">
        <v>183</v>
      </c>
      <c r="N10" t="s">
        <v>182</v>
      </c>
      <c r="O10" t="s">
        <v>182</v>
      </c>
      <c r="P10" t="s">
        <v>182</v>
      </c>
      <c r="Q10" t="s">
        <v>182</v>
      </c>
      <c r="R10" t="s">
        <v>251</v>
      </c>
      <c r="S10" t="s">
        <v>182</v>
      </c>
      <c r="T10" t="s">
        <v>182</v>
      </c>
      <c r="U10" t="s">
        <v>182</v>
      </c>
      <c r="V10" t="s">
        <v>183</v>
      </c>
      <c r="W10" t="s">
        <v>182</v>
      </c>
      <c r="X10" t="s">
        <v>182</v>
      </c>
      <c r="Y10" t="s">
        <v>182</v>
      </c>
      <c r="Z10" t="s">
        <v>182</v>
      </c>
      <c r="AA10" t="s">
        <v>374</v>
      </c>
      <c r="AB10" t="s">
        <v>182</v>
      </c>
      <c r="AC10" t="s">
        <v>182</v>
      </c>
      <c r="AD10" t="s">
        <v>251</v>
      </c>
      <c r="AE10" t="s">
        <v>182</v>
      </c>
    </row>
    <row r="11" spans="1:31" x14ac:dyDescent="0.25">
      <c r="A11" t="s">
        <v>42</v>
      </c>
      <c r="B11">
        <v>150</v>
      </c>
      <c r="C11" t="s">
        <v>6</v>
      </c>
      <c r="D11" t="s">
        <v>5</v>
      </c>
      <c r="E11" t="s">
        <v>30</v>
      </c>
      <c r="F11" t="s">
        <v>191</v>
      </c>
      <c r="G11" t="s">
        <v>182</v>
      </c>
      <c r="H11" t="s">
        <v>164</v>
      </c>
      <c r="I11" t="s">
        <v>182</v>
      </c>
      <c r="J11" t="s">
        <v>182</v>
      </c>
      <c r="K11" t="s">
        <v>182</v>
      </c>
      <c r="L11" t="s">
        <v>182</v>
      </c>
      <c r="M11" t="s">
        <v>183</v>
      </c>
      <c r="N11" t="s">
        <v>182</v>
      </c>
      <c r="O11" t="s">
        <v>182</v>
      </c>
      <c r="P11" t="s">
        <v>182</v>
      </c>
      <c r="Q11" t="s">
        <v>182</v>
      </c>
      <c r="R11" t="s">
        <v>251</v>
      </c>
      <c r="S11" t="s">
        <v>182</v>
      </c>
      <c r="T11" t="s">
        <v>182</v>
      </c>
      <c r="U11" t="s">
        <v>182</v>
      </c>
      <c r="V11" t="s">
        <v>183</v>
      </c>
      <c r="W11" t="s">
        <v>182</v>
      </c>
      <c r="X11" t="s">
        <v>182</v>
      </c>
      <c r="Y11" t="s">
        <v>182</v>
      </c>
      <c r="Z11" t="s">
        <v>182</v>
      </c>
      <c r="AA11" t="s">
        <v>262</v>
      </c>
      <c r="AB11" t="s">
        <v>182</v>
      </c>
      <c r="AC11" t="s">
        <v>182</v>
      </c>
      <c r="AD11" t="s">
        <v>251</v>
      </c>
      <c r="AE11" t="s">
        <v>182</v>
      </c>
    </row>
    <row r="12" spans="1:31" x14ac:dyDescent="0.25">
      <c r="A12" t="s">
        <v>84</v>
      </c>
      <c r="B12">
        <v>150</v>
      </c>
      <c r="C12" t="s">
        <v>8</v>
      </c>
      <c r="D12" t="s">
        <v>5</v>
      </c>
      <c r="E12" t="s">
        <v>30</v>
      </c>
      <c r="F12" t="s">
        <v>192</v>
      </c>
      <c r="G12" t="s">
        <v>182</v>
      </c>
      <c r="H12" t="s">
        <v>164</v>
      </c>
      <c r="I12" t="s">
        <v>182</v>
      </c>
      <c r="J12" t="s">
        <v>182</v>
      </c>
      <c r="K12" t="s">
        <v>182</v>
      </c>
      <c r="L12" t="s">
        <v>182</v>
      </c>
      <c r="M12" t="s">
        <v>183</v>
      </c>
      <c r="N12" t="s">
        <v>182</v>
      </c>
      <c r="O12" t="s">
        <v>182</v>
      </c>
      <c r="P12" t="s">
        <v>182</v>
      </c>
      <c r="Q12" t="s">
        <v>182</v>
      </c>
      <c r="R12" t="s">
        <v>251</v>
      </c>
      <c r="S12" t="s">
        <v>182</v>
      </c>
      <c r="T12" t="s">
        <v>182</v>
      </c>
      <c r="U12" t="s">
        <v>182</v>
      </c>
      <c r="V12" t="s">
        <v>185</v>
      </c>
      <c r="W12" t="s">
        <v>251</v>
      </c>
      <c r="X12" t="s">
        <v>182</v>
      </c>
      <c r="Y12" t="s">
        <v>182</v>
      </c>
      <c r="Z12" t="s">
        <v>182</v>
      </c>
      <c r="AA12" t="s">
        <v>258</v>
      </c>
      <c r="AB12" t="s">
        <v>182</v>
      </c>
      <c r="AC12" t="s">
        <v>182</v>
      </c>
      <c r="AD12" t="s">
        <v>251</v>
      </c>
      <c r="AE12" t="s">
        <v>182</v>
      </c>
    </row>
    <row r="13" spans="1:31" x14ac:dyDescent="0.25">
      <c r="A13" t="s">
        <v>161</v>
      </c>
      <c r="B13">
        <v>140</v>
      </c>
      <c r="C13" t="s">
        <v>6</v>
      </c>
      <c r="D13" t="s">
        <v>5</v>
      </c>
      <c r="E13" t="s">
        <v>30</v>
      </c>
      <c r="F13" t="s">
        <v>193</v>
      </c>
      <c r="G13" t="s">
        <v>182</v>
      </c>
      <c r="H13" t="s">
        <v>164</v>
      </c>
      <c r="I13" t="s">
        <v>182</v>
      </c>
      <c r="J13" t="s">
        <v>182</v>
      </c>
      <c r="K13" t="s">
        <v>182</v>
      </c>
      <c r="L13" t="s">
        <v>182</v>
      </c>
      <c r="M13" t="s">
        <v>183</v>
      </c>
      <c r="N13" t="s">
        <v>182</v>
      </c>
      <c r="O13" t="s">
        <v>182</v>
      </c>
      <c r="P13" t="s">
        <v>182</v>
      </c>
      <c r="Q13" t="s">
        <v>182</v>
      </c>
      <c r="R13" t="s">
        <v>251</v>
      </c>
      <c r="S13" t="s">
        <v>182</v>
      </c>
      <c r="T13" t="s">
        <v>182</v>
      </c>
      <c r="U13" t="s">
        <v>182</v>
      </c>
      <c r="V13" t="s">
        <v>183</v>
      </c>
      <c r="W13" t="s">
        <v>182</v>
      </c>
      <c r="X13" t="s">
        <v>182</v>
      </c>
      <c r="Y13" t="s">
        <v>182</v>
      </c>
      <c r="Z13" t="s">
        <v>182</v>
      </c>
      <c r="AA13" t="s">
        <v>258</v>
      </c>
      <c r="AB13" t="s">
        <v>182</v>
      </c>
      <c r="AC13" t="s">
        <v>182</v>
      </c>
      <c r="AD13" t="s">
        <v>251</v>
      </c>
      <c r="AE13" t="s">
        <v>182</v>
      </c>
    </row>
    <row r="14" spans="1:31" x14ac:dyDescent="0.25">
      <c r="A14" t="s">
        <v>54</v>
      </c>
      <c r="B14">
        <v>190</v>
      </c>
      <c r="C14" t="s">
        <v>6</v>
      </c>
      <c r="D14" t="s">
        <v>5</v>
      </c>
      <c r="E14" t="s">
        <v>30</v>
      </c>
      <c r="F14" t="s">
        <v>194</v>
      </c>
      <c r="G14" t="s">
        <v>182</v>
      </c>
      <c r="H14" t="s">
        <v>164</v>
      </c>
      <c r="I14" t="s">
        <v>182</v>
      </c>
      <c r="J14" t="s">
        <v>182</v>
      </c>
      <c r="K14" t="s">
        <v>182</v>
      </c>
      <c r="L14" t="s">
        <v>182</v>
      </c>
      <c r="M14" t="s">
        <v>183</v>
      </c>
      <c r="N14" t="s">
        <v>182</v>
      </c>
      <c r="O14" t="s">
        <v>182</v>
      </c>
      <c r="P14" t="s">
        <v>182</v>
      </c>
      <c r="Q14" t="s">
        <v>182</v>
      </c>
      <c r="R14" t="s">
        <v>251</v>
      </c>
      <c r="S14" t="s">
        <v>182</v>
      </c>
      <c r="T14" t="s">
        <v>182</v>
      </c>
      <c r="U14" t="s">
        <v>182</v>
      </c>
      <c r="V14" t="s">
        <v>183</v>
      </c>
      <c r="W14" t="s">
        <v>182</v>
      </c>
      <c r="X14" t="s">
        <v>182</v>
      </c>
      <c r="Y14" t="s">
        <v>182</v>
      </c>
      <c r="Z14" t="s">
        <v>182</v>
      </c>
      <c r="AA14" t="s">
        <v>258</v>
      </c>
      <c r="AB14" t="s">
        <v>182</v>
      </c>
      <c r="AC14" t="s">
        <v>182</v>
      </c>
      <c r="AD14" t="s">
        <v>251</v>
      </c>
      <c r="AE14" t="s">
        <v>182</v>
      </c>
    </row>
    <row r="15" spans="1:31" x14ac:dyDescent="0.25">
      <c r="A15" t="s">
        <v>176</v>
      </c>
      <c r="B15">
        <v>140</v>
      </c>
      <c r="C15" t="s">
        <v>6</v>
      </c>
      <c r="D15" t="s">
        <v>5</v>
      </c>
      <c r="E15" t="s">
        <v>30</v>
      </c>
      <c r="F15" t="s">
        <v>195</v>
      </c>
      <c r="G15" t="s">
        <v>182</v>
      </c>
      <c r="H15" t="s">
        <v>164</v>
      </c>
      <c r="I15" t="s">
        <v>182</v>
      </c>
      <c r="J15" t="s">
        <v>182</v>
      </c>
      <c r="K15" t="s">
        <v>182</v>
      </c>
      <c r="L15" t="s">
        <v>182</v>
      </c>
      <c r="M15" t="s">
        <v>183</v>
      </c>
      <c r="N15" t="s">
        <v>182</v>
      </c>
      <c r="O15" t="s">
        <v>182</v>
      </c>
      <c r="P15" t="s">
        <v>182</v>
      </c>
      <c r="Q15" t="s">
        <v>182</v>
      </c>
      <c r="R15" t="s">
        <v>251</v>
      </c>
      <c r="S15" t="s">
        <v>182</v>
      </c>
      <c r="T15" t="s">
        <v>182</v>
      </c>
      <c r="U15" t="s">
        <v>182</v>
      </c>
      <c r="V15" t="s">
        <v>183</v>
      </c>
      <c r="W15" t="s">
        <v>182</v>
      </c>
      <c r="X15" t="s">
        <v>182</v>
      </c>
      <c r="Y15" t="s">
        <v>182</v>
      </c>
      <c r="Z15" t="s">
        <v>182</v>
      </c>
      <c r="AA15" t="s">
        <v>375</v>
      </c>
      <c r="AB15" t="s">
        <v>182</v>
      </c>
      <c r="AC15" t="s">
        <v>182</v>
      </c>
      <c r="AD15" t="s">
        <v>251</v>
      </c>
      <c r="AE15" t="s">
        <v>182</v>
      </c>
    </row>
    <row r="16" spans="1:31" x14ac:dyDescent="0.25">
      <c r="A16" t="s">
        <v>101</v>
      </c>
      <c r="B16">
        <v>175</v>
      </c>
      <c r="C16" t="s">
        <v>6</v>
      </c>
      <c r="D16" t="s">
        <v>5</v>
      </c>
      <c r="E16" t="s">
        <v>30</v>
      </c>
      <c r="F16" t="s">
        <v>196</v>
      </c>
      <c r="G16" t="s">
        <v>182</v>
      </c>
      <c r="H16" t="s">
        <v>164</v>
      </c>
      <c r="I16" t="s">
        <v>182</v>
      </c>
      <c r="J16" t="s">
        <v>182</v>
      </c>
      <c r="K16" t="s">
        <v>182</v>
      </c>
      <c r="L16" t="s">
        <v>182</v>
      </c>
      <c r="M16" t="s">
        <v>183</v>
      </c>
      <c r="N16" t="s">
        <v>182</v>
      </c>
      <c r="O16" t="s">
        <v>182</v>
      </c>
      <c r="P16" t="s">
        <v>182</v>
      </c>
      <c r="Q16" t="s">
        <v>182</v>
      </c>
      <c r="R16" t="s">
        <v>251</v>
      </c>
      <c r="S16" t="s">
        <v>182</v>
      </c>
      <c r="T16" t="s">
        <v>182</v>
      </c>
      <c r="U16" t="s">
        <v>182</v>
      </c>
      <c r="V16" t="s">
        <v>183</v>
      </c>
      <c r="W16" t="s">
        <v>182</v>
      </c>
      <c r="X16" t="s">
        <v>182</v>
      </c>
      <c r="Y16" t="s">
        <v>182</v>
      </c>
      <c r="Z16" t="s">
        <v>182</v>
      </c>
      <c r="AA16" t="s">
        <v>251</v>
      </c>
      <c r="AB16" t="s">
        <v>182</v>
      </c>
      <c r="AC16" t="s">
        <v>182</v>
      </c>
      <c r="AD16" t="s">
        <v>251</v>
      </c>
      <c r="AE16" t="s">
        <v>182</v>
      </c>
    </row>
    <row r="17" spans="1:31" x14ac:dyDescent="0.25">
      <c r="A17" t="s">
        <v>139</v>
      </c>
      <c r="B17">
        <v>190</v>
      </c>
      <c r="C17" t="s">
        <v>6</v>
      </c>
      <c r="D17" t="s">
        <v>5</v>
      </c>
      <c r="E17" t="s">
        <v>28</v>
      </c>
      <c r="F17" t="s">
        <v>197</v>
      </c>
      <c r="G17" t="s">
        <v>182</v>
      </c>
      <c r="H17" t="s">
        <v>164</v>
      </c>
      <c r="I17" t="s">
        <v>182</v>
      </c>
      <c r="J17" t="s">
        <v>182</v>
      </c>
      <c r="K17" t="s">
        <v>182</v>
      </c>
      <c r="L17" t="s">
        <v>182</v>
      </c>
      <c r="M17" t="s">
        <v>183</v>
      </c>
      <c r="N17" t="s">
        <v>183</v>
      </c>
      <c r="O17" t="s">
        <v>182</v>
      </c>
      <c r="P17" t="s">
        <v>182</v>
      </c>
      <c r="Q17" t="s">
        <v>182</v>
      </c>
      <c r="R17" t="s">
        <v>251</v>
      </c>
      <c r="S17" t="s">
        <v>182</v>
      </c>
      <c r="T17" t="s">
        <v>182</v>
      </c>
      <c r="U17" t="s">
        <v>182</v>
      </c>
      <c r="V17" t="s">
        <v>183</v>
      </c>
      <c r="W17" t="s">
        <v>182</v>
      </c>
      <c r="X17" t="s">
        <v>182</v>
      </c>
      <c r="Y17" t="s">
        <v>182</v>
      </c>
      <c r="Z17" t="s">
        <v>182</v>
      </c>
      <c r="AA17" t="s">
        <v>385</v>
      </c>
      <c r="AB17" t="s">
        <v>182</v>
      </c>
      <c r="AC17" t="s">
        <v>182</v>
      </c>
      <c r="AD17" t="s">
        <v>251</v>
      </c>
      <c r="AE17" t="s">
        <v>182</v>
      </c>
    </row>
    <row r="18" spans="1:31" x14ac:dyDescent="0.25">
      <c r="A18" t="s">
        <v>46</v>
      </c>
      <c r="B18">
        <v>150</v>
      </c>
      <c r="C18" t="s">
        <v>6</v>
      </c>
      <c r="D18" t="s">
        <v>5</v>
      </c>
      <c r="E18" t="s">
        <v>28</v>
      </c>
      <c r="F18" t="s">
        <v>198</v>
      </c>
      <c r="G18" t="s">
        <v>182</v>
      </c>
      <c r="H18" t="s">
        <v>164</v>
      </c>
      <c r="I18" t="s">
        <v>182</v>
      </c>
      <c r="J18" t="s">
        <v>182</v>
      </c>
      <c r="K18" t="s">
        <v>182</v>
      </c>
      <c r="L18" t="s">
        <v>182</v>
      </c>
      <c r="M18" t="s">
        <v>183</v>
      </c>
      <c r="N18" t="s">
        <v>183</v>
      </c>
      <c r="O18" t="s">
        <v>182</v>
      </c>
      <c r="P18" t="s">
        <v>182</v>
      </c>
      <c r="Q18" t="s">
        <v>182</v>
      </c>
      <c r="R18" t="s">
        <v>251</v>
      </c>
      <c r="S18" t="s">
        <v>182</v>
      </c>
      <c r="T18" t="s">
        <v>182</v>
      </c>
      <c r="U18" t="s">
        <v>182</v>
      </c>
      <c r="V18" t="s">
        <v>183</v>
      </c>
      <c r="W18" t="s">
        <v>182</v>
      </c>
      <c r="X18" t="s">
        <v>182</v>
      </c>
      <c r="Y18" t="s">
        <v>182</v>
      </c>
      <c r="Z18" t="s">
        <v>182</v>
      </c>
      <c r="AA18" t="s">
        <v>374</v>
      </c>
      <c r="AB18" t="s">
        <v>182</v>
      </c>
      <c r="AC18" t="s">
        <v>182</v>
      </c>
      <c r="AD18" t="s">
        <v>251</v>
      </c>
      <c r="AE18" t="s">
        <v>182</v>
      </c>
    </row>
    <row r="19" spans="1:31" x14ac:dyDescent="0.25">
      <c r="A19" t="s">
        <v>118</v>
      </c>
      <c r="B19">
        <v>120</v>
      </c>
      <c r="C19" t="s">
        <v>6</v>
      </c>
      <c r="D19" t="s">
        <v>5</v>
      </c>
      <c r="E19" t="s">
        <v>28</v>
      </c>
      <c r="F19" t="s">
        <v>199</v>
      </c>
      <c r="G19" t="s">
        <v>182</v>
      </c>
      <c r="H19" t="s">
        <v>164</v>
      </c>
      <c r="I19" t="s">
        <v>182</v>
      </c>
      <c r="J19" t="s">
        <v>182</v>
      </c>
      <c r="K19" t="s">
        <v>182</v>
      </c>
      <c r="L19" t="s">
        <v>182</v>
      </c>
      <c r="M19" t="s">
        <v>183</v>
      </c>
      <c r="N19" t="s">
        <v>183</v>
      </c>
      <c r="O19" t="s">
        <v>182</v>
      </c>
      <c r="P19" t="s">
        <v>182</v>
      </c>
      <c r="Q19" t="s">
        <v>182</v>
      </c>
      <c r="R19" t="s">
        <v>251</v>
      </c>
      <c r="S19" t="s">
        <v>182</v>
      </c>
      <c r="T19" t="s">
        <v>182</v>
      </c>
      <c r="U19" t="s">
        <v>182</v>
      </c>
      <c r="V19" t="s">
        <v>183</v>
      </c>
      <c r="W19" t="s">
        <v>182</v>
      </c>
      <c r="X19" t="s">
        <v>182</v>
      </c>
      <c r="Y19" t="s">
        <v>182</v>
      </c>
      <c r="Z19" t="s">
        <v>182</v>
      </c>
      <c r="AA19" t="s">
        <v>374</v>
      </c>
      <c r="AB19" t="s">
        <v>182</v>
      </c>
      <c r="AC19" t="s">
        <v>182</v>
      </c>
      <c r="AD19" t="s">
        <v>251</v>
      </c>
      <c r="AE19" t="s">
        <v>182</v>
      </c>
    </row>
    <row r="20" spans="1:31" x14ac:dyDescent="0.25">
      <c r="A20" t="s">
        <v>51</v>
      </c>
      <c r="B20">
        <v>120</v>
      </c>
      <c r="C20" t="s">
        <v>4</v>
      </c>
      <c r="D20" t="s">
        <v>5</v>
      </c>
      <c r="E20" t="s">
        <v>28</v>
      </c>
      <c r="F20" t="s">
        <v>200</v>
      </c>
      <c r="G20" t="s">
        <v>182</v>
      </c>
      <c r="H20" t="s">
        <v>164</v>
      </c>
      <c r="I20" t="s">
        <v>182</v>
      </c>
      <c r="J20" t="s">
        <v>182</v>
      </c>
      <c r="K20" t="s">
        <v>182</v>
      </c>
      <c r="L20" t="s">
        <v>182</v>
      </c>
      <c r="M20" t="s">
        <v>183</v>
      </c>
      <c r="N20" t="s">
        <v>183</v>
      </c>
      <c r="O20" t="s">
        <v>182</v>
      </c>
      <c r="P20" t="s">
        <v>182</v>
      </c>
      <c r="Q20" t="s">
        <v>182</v>
      </c>
      <c r="R20" t="s">
        <v>182</v>
      </c>
      <c r="S20" t="s">
        <v>182</v>
      </c>
      <c r="T20" t="s">
        <v>182</v>
      </c>
      <c r="U20" t="s">
        <v>182</v>
      </c>
      <c r="V20" t="s">
        <v>185</v>
      </c>
      <c r="W20" t="s">
        <v>330</v>
      </c>
      <c r="X20" t="s">
        <v>182</v>
      </c>
      <c r="Y20" t="s">
        <v>182</v>
      </c>
      <c r="Z20" t="s">
        <v>182</v>
      </c>
      <c r="AA20" t="s">
        <v>381</v>
      </c>
      <c r="AB20" t="s">
        <v>182</v>
      </c>
      <c r="AC20" t="s">
        <v>182</v>
      </c>
      <c r="AD20" t="s">
        <v>251</v>
      </c>
      <c r="AE20" t="s">
        <v>182</v>
      </c>
    </row>
    <row r="21" spans="1:31" x14ac:dyDescent="0.25">
      <c r="A21" t="s">
        <v>117</v>
      </c>
      <c r="B21">
        <v>100</v>
      </c>
      <c r="C21" t="s">
        <v>7</v>
      </c>
      <c r="D21" t="s">
        <v>5</v>
      </c>
      <c r="E21" t="s">
        <v>28</v>
      </c>
      <c r="F21" t="s">
        <v>201</v>
      </c>
      <c r="G21" t="s">
        <v>182</v>
      </c>
      <c r="H21" t="s">
        <v>164</v>
      </c>
      <c r="I21" t="s">
        <v>182</v>
      </c>
      <c r="J21" t="s">
        <v>182</v>
      </c>
      <c r="K21" t="s">
        <v>182</v>
      </c>
      <c r="L21" t="s">
        <v>182</v>
      </c>
      <c r="M21" t="s">
        <v>183</v>
      </c>
      <c r="N21" t="s">
        <v>183</v>
      </c>
      <c r="O21" t="s">
        <v>182</v>
      </c>
      <c r="P21" t="s">
        <v>182</v>
      </c>
      <c r="Q21" t="s">
        <v>182</v>
      </c>
      <c r="R21" t="s">
        <v>251</v>
      </c>
      <c r="S21" t="s">
        <v>182</v>
      </c>
      <c r="T21" t="s">
        <v>182</v>
      </c>
      <c r="U21" t="s">
        <v>182</v>
      </c>
      <c r="V21" t="s">
        <v>183</v>
      </c>
      <c r="W21" t="s">
        <v>182</v>
      </c>
      <c r="X21" t="s">
        <v>182</v>
      </c>
      <c r="Y21" t="s">
        <v>182</v>
      </c>
      <c r="Z21" t="s">
        <v>182</v>
      </c>
      <c r="AA21" t="s">
        <v>256</v>
      </c>
      <c r="AB21" t="s">
        <v>182</v>
      </c>
      <c r="AC21" t="s">
        <v>182</v>
      </c>
      <c r="AD21" t="s">
        <v>251</v>
      </c>
      <c r="AE21" t="s">
        <v>182</v>
      </c>
    </row>
    <row r="22" spans="1:31" x14ac:dyDescent="0.25">
      <c r="A22" t="s">
        <v>144</v>
      </c>
      <c r="B22">
        <v>110</v>
      </c>
      <c r="C22" t="s">
        <v>6</v>
      </c>
      <c r="D22" t="s">
        <v>5</v>
      </c>
      <c r="E22" t="s">
        <v>28</v>
      </c>
      <c r="F22" t="s">
        <v>202</v>
      </c>
      <c r="G22" t="s">
        <v>182</v>
      </c>
      <c r="H22" t="s">
        <v>164</v>
      </c>
      <c r="I22" t="s">
        <v>182</v>
      </c>
      <c r="J22" t="s">
        <v>182</v>
      </c>
      <c r="K22" t="s">
        <v>182</v>
      </c>
      <c r="L22" t="s">
        <v>182</v>
      </c>
      <c r="M22" t="s">
        <v>183</v>
      </c>
      <c r="N22" t="s">
        <v>183</v>
      </c>
      <c r="O22" t="s">
        <v>182</v>
      </c>
      <c r="P22" t="s">
        <v>182</v>
      </c>
      <c r="Q22" t="s">
        <v>182</v>
      </c>
      <c r="R22" t="s">
        <v>251</v>
      </c>
      <c r="S22" t="s">
        <v>182</v>
      </c>
      <c r="T22" t="s">
        <v>182</v>
      </c>
      <c r="U22" t="s">
        <v>182</v>
      </c>
      <c r="V22" t="s">
        <v>183</v>
      </c>
      <c r="W22" t="s">
        <v>182</v>
      </c>
      <c r="X22" t="s">
        <v>182</v>
      </c>
      <c r="Y22" t="s">
        <v>182</v>
      </c>
      <c r="Z22" t="s">
        <v>182</v>
      </c>
      <c r="AA22" t="s">
        <v>374</v>
      </c>
      <c r="AB22" t="s">
        <v>182</v>
      </c>
      <c r="AC22" t="s">
        <v>182</v>
      </c>
      <c r="AD22" t="s">
        <v>251</v>
      </c>
      <c r="AE22" t="s">
        <v>182</v>
      </c>
    </row>
    <row r="23" spans="1:31" x14ac:dyDescent="0.25">
      <c r="A23" t="s">
        <v>75</v>
      </c>
      <c r="B23">
        <v>210</v>
      </c>
      <c r="C23" t="s">
        <v>6</v>
      </c>
      <c r="D23" t="s">
        <v>5</v>
      </c>
      <c r="E23" t="s">
        <v>28</v>
      </c>
      <c r="F23" t="s">
        <v>203</v>
      </c>
      <c r="G23" t="s">
        <v>182</v>
      </c>
      <c r="H23" t="s">
        <v>164</v>
      </c>
      <c r="I23" t="s">
        <v>182</v>
      </c>
      <c r="J23" t="s">
        <v>182</v>
      </c>
      <c r="K23" t="s">
        <v>182</v>
      </c>
      <c r="L23" t="s">
        <v>182</v>
      </c>
      <c r="M23" t="s">
        <v>183</v>
      </c>
      <c r="N23" t="s">
        <v>183</v>
      </c>
      <c r="O23" t="s">
        <v>182</v>
      </c>
      <c r="P23" t="s">
        <v>182</v>
      </c>
      <c r="Q23" t="s">
        <v>182</v>
      </c>
      <c r="R23" t="s">
        <v>251</v>
      </c>
      <c r="S23" t="s">
        <v>182</v>
      </c>
      <c r="T23" t="s">
        <v>182</v>
      </c>
      <c r="U23" t="s">
        <v>182</v>
      </c>
      <c r="V23" t="s">
        <v>183</v>
      </c>
      <c r="W23" t="s">
        <v>182</v>
      </c>
      <c r="X23" t="s">
        <v>182</v>
      </c>
      <c r="Y23" t="s">
        <v>182</v>
      </c>
      <c r="Z23" t="s">
        <v>182</v>
      </c>
      <c r="AA23" t="s">
        <v>374</v>
      </c>
      <c r="AB23" t="s">
        <v>182</v>
      </c>
      <c r="AC23" t="s">
        <v>182</v>
      </c>
      <c r="AD23" t="s">
        <v>251</v>
      </c>
      <c r="AE23" t="s">
        <v>182</v>
      </c>
    </row>
    <row r="24" spans="1:31" x14ac:dyDescent="0.25">
      <c r="A24" t="s">
        <v>145</v>
      </c>
      <c r="B24">
        <v>200</v>
      </c>
      <c r="C24" t="s">
        <v>6</v>
      </c>
      <c r="D24" t="s">
        <v>5</v>
      </c>
      <c r="E24" t="s">
        <v>28</v>
      </c>
      <c r="F24" t="s">
        <v>204</v>
      </c>
      <c r="G24" t="s">
        <v>182</v>
      </c>
      <c r="H24" t="s">
        <v>164</v>
      </c>
      <c r="I24" t="s">
        <v>182</v>
      </c>
      <c r="J24" t="s">
        <v>182</v>
      </c>
      <c r="K24" t="s">
        <v>182</v>
      </c>
      <c r="L24" t="s">
        <v>182</v>
      </c>
      <c r="M24" t="s">
        <v>183</v>
      </c>
      <c r="N24" t="s">
        <v>183</v>
      </c>
      <c r="O24" t="s">
        <v>182</v>
      </c>
      <c r="P24" t="s">
        <v>182</v>
      </c>
      <c r="Q24" t="s">
        <v>182</v>
      </c>
      <c r="R24" t="s">
        <v>251</v>
      </c>
      <c r="S24" t="s">
        <v>182</v>
      </c>
      <c r="T24" t="s">
        <v>182</v>
      </c>
      <c r="U24" t="s">
        <v>182</v>
      </c>
      <c r="V24" t="s">
        <v>183</v>
      </c>
      <c r="W24" t="s">
        <v>182</v>
      </c>
      <c r="X24" t="s">
        <v>182</v>
      </c>
      <c r="Y24" t="s">
        <v>182</v>
      </c>
      <c r="Z24" t="s">
        <v>182</v>
      </c>
      <c r="AA24" t="s">
        <v>262</v>
      </c>
      <c r="AB24" t="s">
        <v>182</v>
      </c>
      <c r="AC24" t="s">
        <v>182</v>
      </c>
      <c r="AD24" t="s">
        <v>251</v>
      </c>
      <c r="AE24" t="s">
        <v>182</v>
      </c>
    </row>
    <row r="25" spans="1:31" x14ac:dyDescent="0.25">
      <c r="A25" t="s">
        <v>127</v>
      </c>
      <c r="B25">
        <v>200</v>
      </c>
      <c r="C25" t="s">
        <v>6</v>
      </c>
      <c r="D25" t="s">
        <v>5</v>
      </c>
      <c r="E25" t="s">
        <v>28</v>
      </c>
      <c r="F25" t="s">
        <v>205</v>
      </c>
      <c r="G25" t="s">
        <v>182</v>
      </c>
      <c r="H25" t="s">
        <v>164</v>
      </c>
      <c r="I25" t="s">
        <v>182</v>
      </c>
      <c r="J25" t="s">
        <v>182</v>
      </c>
      <c r="K25" t="s">
        <v>182</v>
      </c>
      <c r="L25" t="s">
        <v>182</v>
      </c>
      <c r="M25" t="s">
        <v>183</v>
      </c>
      <c r="N25" t="s">
        <v>183</v>
      </c>
      <c r="O25" t="s">
        <v>182</v>
      </c>
      <c r="P25" t="s">
        <v>182</v>
      </c>
      <c r="Q25" t="s">
        <v>182</v>
      </c>
      <c r="R25" t="s">
        <v>251</v>
      </c>
      <c r="S25" t="s">
        <v>182</v>
      </c>
      <c r="T25" t="s">
        <v>182</v>
      </c>
      <c r="U25" t="s">
        <v>182</v>
      </c>
      <c r="V25" t="s">
        <v>183</v>
      </c>
      <c r="W25" t="s">
        <v>182</v>
      </c>
      <c r="X25" t="s">
        <v>182</v>
      </c>
      <c r="Y25" t="s">
        <v>182</v>
      </c>
      <c r="Z25" t="s">
        <v>182</v>
      </c>
      <c r="AA25" t="s">
        <v>207</v>
      </c>
      <c r="AB25" t="s">
        <v>182</v>
      </c>
      <c r="AC25" t="s">
        <v>182</v>
      </c>
      <c r="AD25" t="s">
        <v>251</v>
      </c>
      <c r="AE25" t="s">
        <v>182</v>
      </c>
    </row>
    <row r="26" spans="1:31" x14ac:dyDescent="0.25">
      <c r="A26" t="s">
        <v>151</v>
      </c>
      <c r="B26">
        <v>175</v>
      </c>
      <c r="C26" t="s">
        <v>6</v>
      </c>
      <c r="D26" t="s">
        <v>5</v>
      </c>
      <c r="E26" t="s">
        <v>28</v>
      </c>
      <c r="F26" t="s">
        <v>206</v>
      </c>
      <c r="G26" t="s">
        <v>182</v>
      </c>
      <c r="H26" t="s">
        <v>164</v>
      </c>
      <c r="I26" t="s">
        <v>182</v>
      </c>
      <c r="J26" t="s">
        <v>182</v>
      </c>
      <c r="K26" t="s">
        <v>182</v>
      </c>
      <c r="L26" t="s">
        <v>182</v>
      </c>
      <c r="M26" t="s">
        <v>183</v>
      </c>
      <c r="N26" t="s">
        <v>183</v>
      </c>
      <c r="O26" t="s">
        <v>182</v>
      </c>
      <c r="P26" t="s">
        <v>182</v>
      </c>
      <c r="Q26" t="s">
        <v>182</v>
      </c>
      <c r="R26" t="s">
        <v>251</v>
      </c>
      <c r="S26" t="s">
        <v>182</v>
      </c>
      <c r="T26" t="s">
        <v>182</v>
      </c>
      <c r="U26" t="s">
        <v>182</v>
      </c>
      <c r="V26" t="s">
        <v>183</v>
      </c>
      <c r="W26" t="s">
        <v>182</v>
      </c>
      <c r="X26" t="s">
        <v>182</v>
      </c>
      <c r="Y26" t="s">
        <v>182</v>
      </c>
      <c r="Z26" t="s">
        <v>182</v>
      </c>
      <c r="AA26" t="s">
        <v>258</v>
      </c>
      <c r="AB26" t="s">
        <v>182</v>
      </c>
      <c r="AC26" t="s">
        <v>182</v>
      </c>
      <c r="AD26" t="s">
        <v>251</v>
      </c>
      <c r="AE26" t="s">
        <v>182</v>
      </c>
    </row>
    <row r="27" spans="1:31" x14ac:dyDescent="0.25">
      <c r="A27" t="s">
        <v>99</v>
      </c>
      <c r="B27">
        <v>300</v>
      </c>
      <c r="C27" t="s">
        <v>6</v>
      </c>
      <c r="D27" t="s">
        <v>5</v>
      </c>
      <c r="E27" t="s">
        <v>28</v>
      </c>
      <c r="F27" t="s">
        <v>207</v>
      </c>
      <c r="G27" t="s">
        <v>182</v>
      </c>
      <c r="H27" t="s">
        <v>164</v>
      </c>
      <c r="I27" t="s">
        <v>182</v>
      </c>
      <c r="J27" t="s">
        <v>182</v>
      </c>
      <c r="K27" t="s">
        <v>182</v>
      </c>
      <c r="L27" t="s">
        <v>182</v>
      </c>
      <c r="M27" t="s">
        <v>183</v>
      </c>
      <c r="N27" t="s">
        <v>183</v>
      </c>
      <c r="O27" t="s">
        <v>182</v>
      </c>
      <c r="P27" t="s">
        <v>182</v>
      </c>
      <c r="Q27" t="s">
        <v>182</v>
      </c>
      <c r="R27" t="s">
        <v>251</v>
      </c>
      <c r="S27" t="s">
        <v>182</v>
      </c>
      <c r="T27" t="s">
        <v>182</v>
      </c>
      <c r="U27" t="s">
        <v>182</v>
      </c>
      <c r="V27" t="s">
        <v>183</v>
      </c>
      <c r="W27" t="s">
        <v>182</v>
      </c>
      <c r="X27" t="s">
        <v>182</v>
      </c>
      <c r="Y27" t="s">
        <v>182</v>
      </c>
      <c r="Z27" t="s">
        <v>182</v>
      </c>
      <c r="AA27" t="s">
        <v>375</v>
      </c>
      <c r="AB27" t="s">
        <v>182</v>
      </c>
      <c r="AC27" t="s">
        <v>182</v>
      </c>
      <c r="AD27" t="s">
        <v>251</v>
      </c>
      <c r="AE27" t="s">
        <v>182</v>
      </c>
    </row>
    <row r="28" spans="1:31" x14ac:dyDescent="0.25">
      <c r="A28" t="s">
        <v>63</v>
      </c>
      <c r="B28">
        <v>160</v>
      </c>
      <c r="C28" t="s">
        <v>4</v>
      </c>
      <c r="D28" t="s">
        <v>5</v>
      </c>
      <c r="E28" t="s">
        <v>28</v>
      </c>
      <c r="F28" t="s">
        <v>208</v>
      </c>
      <c r="G28" t="s">
        <v>182</v>
      </c>
      <c r="H28" t="s">
        <v>164</v>
      </c>
      <c r="I28" t="s">
        <v>182</v>
      </c>
      <c r="J28" t="s">
        <v>182</v>
      </c>
      <c r="K28" t="s">
        <v>182</v>
      </c>
      <c r="L28" t="s">
        <v>182</v>
      </c>
      <c r="M28" t="s">
        <v>183</v>
      </c>
      <c r="N28" t="s">
        <v>183</v>
      </c>
      <c r="O28" t="s">
        <v>182</v>
      </c>
      <c r="P28" t="s">
        <v>182</v>
      </c>
      <c r="Q28" t="s">
        <v>182</v>
      </c>
      <c r="R28" t="s">
        <v>182</v>
      </c>
      <c r="S28" t="s">
        <v>182</v>
      </c>
      <c r="T28" t="s">
        <v>182</v>
      </c>
      <c r="U28" t="s">
        <v>182</v>
      </c>
      <c r="V28" t="s">
        <v>185</v>
      </c>
      <c r="W28" t="s">
        <v>330</v>
      </c>
      <c r="X28" t="s">
        <v>182</v>
      </c>
      <c r="Y28" t="s">
        <v>182</v>
      </c>
      <c r="Z28" t="s">
        <v>182</v>
      </c>
      <c r="AA28" t="s">
        <v>377</v>
      </c>
      <c r="AB28" t="s">
        <v>182</v>
      </c>
      <c r="AC28" t="s">
        <v>182</v>
      </c>
      <c r="AD28" t="s">
        <v>251</v>
      </c>
      <c r="AE28" t="s">
        <v>182</v>
      </c>
    </row>
    <row r="29" spans="1:31" x14ac:dyDescent="0.25">
      <c r="A29" t="s">
        <v>94</v>
      </c>
      <c r="B29">
        <v>180</v>
      </c>
      <c r="C29" t="s">
        <v>7</v>
      </c>
      <c r="D29" t="s">
        <v>5</v>
      </c>
      <c r="E29" t="s">
        <v>28</v>
      </c>
      <c r="F29" t="s">
        <v>209</v>
      </c>
      <c r="G29" t="s">
        <v>182</v>
      </c>
      <c r="H29" t="s">
        <v>164</v>
      </c>
      <c r="I29" t="s">
        <v>182</v>
      </c>
      <c r="J29" t="s">
        <v>182</v>
      </c>
      <c r="K29" t="s">
        <v>182</v>
      </c>
      <c r="L29" t="s">
        <v>182</v>
      </c>
      <c r="M29" t="s">
        <v>183</v>
      </c>
      <c r="N29" t="s">
        <v>183</v>
      </c>
      <c r="O29" t="s">
        <v>182</v>
      </c>
      <c r="P29" t="s">
        <v>182</v>
      </c>
      <c r="Q29" t="s">
        <v>182</v>
      </c>
      <c r="R29" t="s">
        <v>251</v>
      </c>
      <c r="S29" t="s">
        <v>182</v>
      </c>
      <c r="T29" t="s">
        <v>182</v>
      </c>
      <c r="U29" t="s">
        <v>182</v>
      </c>
      <c r="V29" t="s">
        <v>183</v>
      </c>
      <c r="W29" t="s">
        <v>182</v>
      </c>
      <c r="X29" t="s">
        <v>182</v>
      </c>
      <c r="Y29" t="s">
        <v>182</v>
      </c>
      <c r="Z29" t="s">
        <v>182</v>
      </c>
      <c r="AA29" t="s">
        <v>374</v>
      </c>
      <c r="AB29" t="s">
        <v>182</v>
      </c>
      <c r="AC29" t="s">
        <v>182</v>
      </c>
      <c r="AD29" t="s">
        <v>251</v>
      </c>
      <c r="AE29" t="s">
        <v>182</v>
      </c>
    </row>
    <row r="30" spans="1:31" x14ac:dyDescent="0.25">
      <c r="A30" t="s">
        <v>89</v>
      </c>
      <c r="B30">
        <v>225</v>
      </c>
      <c r="C30" t="s">
        <v>7</v>
      </c>
      <c r="D30" t="s">
        <v>5</v>
      </c>
      <c r="E30" t="s">
        <v>31</v>
      </c>
      <c r="F30" t="s">
        <v>210</v>
      </c>
      <c r="G30" t="s">
        <v>182</v>
      </c>
      <c r="H30" t="s">
        <v>164</v>
      </c>
      <c r="I30" t="s">
        <v>182</v>
      </c>
      <c r="J30" t="s">
        <v>182</v>
      </c>
      <c r="K30" t="s">
        <v>182</v>
      </c>
      <c r="L30" t="s">
        <v>182</v>
      </c>
      <c r="M30" t="s">
        <v>185</v>
      </c>
      <c r="N30" t="s">
        <v>182</v>
      </c>
      <c r="O30" t="s">
        <v>182</v>
      </c>
      <c r="P30" t="s">
        <v>182</v>
      </c>
      <c r="Q30" t="s">
        <v>182</v>
      </c>
      <c r="R30" t="s">
        <v>182</v>
      </c>
      <c r="S30" t="s">
        <v>183</v>
      </c>
      <c r="T30" t="s">
        <v>183</v>
      </c>
      <c r="U30" t="s">
        <v>182</v>
      </c>
      <c r="V30" t="s">
        <v>183</v>
      </c>
      <c r="W30" t="s">
        <v>182</v>
      </c>
      <c r="X30" t="s">
        <v>182</v>
      </c>
      <c r="Y30" t="s">
        <v>183</v>
      </c>
      <c r="Z30" t="s">
        <v>370</v>
      </c>
      <c r="AA30" t="s">
        <v>378</v>
      </c>
      <c r="AB30" t="s">
        <v>183</v>
      </c>
      <c r="AC30" t="s">
        <v>182</v>
      </c>
      <c r="AD30" t="s">
        <v>251</v>
      </c>
      <c r="AE30" t="s">
        <v>182</v>
      </c>
    </row>
    <row r="31" spans="1:31" x14ac:dyDescent="0.25">
      <c r="A31" t="s">
        <v>79</v>
      </c>
      <c r="B31">
        <v>800</v>
      </c>
      <c r="C31" t="s">
        <v>7</v>
      </c>
      <c r="D31" t="s">
        <v>5</v>
      </c>
      <c r="E31" t="s">
        <v>31</v>
      </c>
      <c r="F31" t="s">
        <v>211</v>
      </c>
      <c r="G31" t="s">
        <v>182</v>
      </c>
      <c r="H31" t="s">
        <v>164</v>
      </c>
      <c r="I31" t="s">
        <v>182</v>
      </c>
      <c r="J31" t="s">
        <v>182</v>
      </c>
      <c r="K31" t="s">
        <v>182</v>
      </c>
      <c r="L31" t="s">
        <v>182</v>
      </c>
      <c r="M31" t="s">
        <v>183</v>
      </c>
      <c r="N31" t="s">
        <v>182</v>
      </c>
      <c r="O31" t="s">
        <v>182</v>
      </c>
      <c r="P31" t="s">
        <v>182</v>
      </c>
      <c r="Q31" t="s">
        <v>182</v>
      </c>
      <c r="R31" t="s">
        <v>182</v>
      </c>
      <c r="S31" t="s">
        <v>183</v>
      </c>
      <c r="T31" t="s">
        <v>183</v>
      </c>
      <c r="U31" t="s">
        <v>182</v>
      </c>
      <c r="V31" t="s">
        <v>183</v>
      </c>
      <c r="W31" t="s">
        <v>182</v>
      </c>
      <c r="X31" t="s">
        <v>182</v>
      </c>
      <c r="Y31" t="s">
        <v>182</v>
      </c>
      <c r="Z31" t="s">
        <v>182</v>
      </c>
      <c r="AA31" t="s">
        <v>256</v>
      </c>
      <c r="AB31" t="s">
        <v>182</v>
      </c>
      <c r="AC31" t="s">
        <v>182</v>
      </c>
      <c r="AD31" t="s">
        <v>251</v>
      </c>
      <c r="AE31" t="s">
        <v>182</v>
      </c>
    </row>
    <row r="32" spans="1:31" x14ac:dyDescent="0.25">
      <c r="A32" t="s">
        <v>106</v>
      </c>
      <c r="B32">
        <v>250</v>
      </c>
      <c r="C32" t="s">
        <v>7</v>
      </c>
      <c r="D32" t="s">
        <v>5</v>
      </c>
      <c r="E32" t="s">
        <v>31</v>
      </c>
      <c r="F32" t="s">
        <v>212</v>
      </c>
      <c r="G32" t="s">
        <v>182</v>
      </c>
      <c r="H32" t="s">
        <v>164</v>
      </c>
      <c r="I32" t="s">
        <v>182</v>
      </c>
      <c r="J32" t="s">
        <v>182</v>
      </c>
      <c r="K32" t="s">
        <v>182</v>
      </c>
      <c r="L32" t="s">
        <v>182</v>
      </c>
      <c r="M32" t="s">
        <v>185</v>
      </c>
      <c r="N32" t="s">
        <v>182</v>
      </c>
      <c r="O32" t="s">
        <v>182</v>
      </c>
      <c r="P32" t="s">
        <v>182</v>
      </c>
      <c r="Q32" t="s">
        <v>182</v>
      </c>
      <c r="R32" t="s">
        <v>182</v>
      </c>
      <c r="S32" t="s">
        <v>182</v>
      </c>
      <c r="T32" t="s">
        <v>182</v>
      </c>
      <c r="U32" t="s">
        <v>182</v>
      </c>
      <c r="V32" t="s">
        <v>183</v>
      </c>
      <c r="W32" t="s">
        <v>182</v>
      </c>
      <c r="X32" t="s">
        <v>182</v>
      </c>
      <c r="Y32" t="s">
        <v>182</v>
      </c>
      <c r="Z32" t="s">
        <v>182</v>
      </c>
      <c r="AA32" t="s">
        <v>382</v>
      </c>
      <c r="AB32" t="s">
        <v>182</v>
      </c>
      <c r="AC32" t="s">
        <v>182</v>
      </c>
      <c r="AD32" t="s">
        <v>251</v>
      </c>
      <c r="AE32" t="s">
        <v>182</v>
      </c>
    </row>
    <row r="33" spans="1:31" x14ac:dyDescent="0.25">
      <c r="A33" t="s">
        <v>174</v>
      </c>
      <c r="B33">
        <v>280</v>
      </c>
      <c r="C33" t="s">
        <v>6</v>
      </c>
      <c r="D33" t="s">
        <v>5</v>
      </c>
      <c r="E33" t="s">
        <v>31</v>
      </c>
      <c r="F33" t="s">
        <v>213</v>
      </c>
      <c r="G33" t="s">
        <v>182</v>
      </c>
      <c r="H33" t="s">
        <v>164</v>
      </c>
      <c r="I33" t="s">
        <v>182</v>
      </c>
      <c r="J33" t="s">
        <v>182</v>
      </c>
      <c r="K33" t="s">
        <v>182</v>
      </c>
      <c r="L33" t="s">
        <v>182</v>
      </c>
      <c r="M33" t="s">
        <v>185</v>
      </c>
      <c r="N33" t="s">
        <v>182</v>
      </c>
      <c r="O33" t="s">
        <v>182</v>
      </c>
      <c r="P33" t="s">
        <v>182</v>
      </c>
      <c r="Q33" t="s">
        <v>182</v>
      </c>
      <c r="R33" t="s">
        <v>182</v>
      </c>
      <c r="S33" t="s">
        <v>182</v>
      </c>
      <c r="T33" t="s">
        <v>182</v>
      </c>
      <c r="U33" t="s">
        <v>182</v>
      </c>
      <c r="V33" t="s">
        <v>183</v>
      </c>
      <c r="W33" t="s">
        <v>182</v>
      </c>
      <c r="X33" t="s">
        <v>182</v>
      </c>
      <c r="Y33" t="s">
        <v>182</v>
      </c>
      <c r="Z33" t="s">
        <v>182</v>
      </c>
      <c r="AA33" t="s">
        <v>379</v>
      </c>
      <c r="AB33" t="s">
        <v>182</v>
      </c>
      <c r="AC33" t="s">
        <v>182</v>
      </c>
      <c r="AD33" t="s">
        <v>251</v>
      </c>
      <c r="AE33" t="s">
        <v>182</v>
      </c>
    </row>
    <row r="34" spans="1:31" x14ac:dyDescent="0.25">
      <c r="A34" t="s">
        <v>160</v>
      </c>
      <c r="B34">
        <v>600</v>
      </c>
      <c r="C34" t="s">
        <v>6</v>
      </c>
      <c r="D34" t="s">
        <v>5</v>
      </c>
      <c r="E34" t="s">
        <v>31</v>
      </c>
      <c r="F34" t="s">
        <v>214</v>
      </c>
      <c r="G34" t="s">
        <v>182</v>
      </c>
      <c r="H34" t="s">
        <v>164</v>
      </c>
      <c r="I34" t="s">
        <v>182</v>
      </c>
      <c r="J34" t="s">
        <v>182</v>
      </c>
      <c r="K34" t="s">
        <v>182</v>
      </c>
      <c r="L34" t="s">
        <v>182</v>
      </c>
      <c r="M34" t="s">
        <v>185</v>
      </c>
      <c r="N34" t="s">
        <v>182</v>
      </c>
      <c r="O34" t="s">
        <v>182</v>
      </c>
      <c r="P34" t="s">
        <v>182</v>
      </c>
      <c r="Q34" t="s">
        <v>182</v>
      </c>
      <c r="R34" t="s">
        <v>182</v>
      </c>
      <c r="S34" t="s">
        <v>182</v>
      </c>
      <c r="T34" t="s">
        <v>182</v>
      </c>
      <c r="U34" t="s">
        <v>182</v>
      </c>
      <c r="V34" t="s">
        <v>183</v>
      </c>
      <c r="W34" t="s">
        <v>182</v>
      </c>
      <c r="X34" t="s">
        <v>182</v>
      </c>
      <c r="Y34" t="s">
        <v>182</v>
      </c>
      <c r="Z34" t="s">
        <v>182</v>
      </c>
      <c r="AA34" t="s">
        <v>380</v>
      </c>
      <c r="AB34" t="s">
        <v>182</v>
      </c>
      <c r="AC34" t="s">
        <v>182</v>
      </c>
      <c r="AD34" t="s">
        <v>251</v>
      </c>
      <c r="AE34" t="s">
        <v>182</v>
      </c>
    </row>
    <row r="35" spans="1:31" x14ac:dyDescent="0.25">
      <c r="A35" t="s">
        <v>159</v>
      </c>
      <c r="B35">
        <v>1000</v>
      </c>
      <c r="C35" t="s">
        <v>7</v>
      </c>
      <c r="D35" t="s">
        <v>5</v>
      </c>
      <c r="E35" t="s">
        <v>31</v>
      </c>
      <c r="F35" t="s">
        <v>215</v>
      </c>
      <c r="G35" t="s">
        <v>182</v>
      </c>
      <c r="H35" t="s">
        <v>164</v>
      </c>
      <c r="I35" t="s">
        <v>182</v>
      </c>
      <c r="J35" t="s">
        <v>182</v>
      </c>
      <c r="K35" t="s">
        <v>182</v>
      </c>
      <c r="L35" t="s">
        <v>182</v>
      </c>
      <c r="M35" t="s">
        <v>183</v>
      </c>
      <c r="N35" t="s">
        <v>182</v>
      </c>
      <c r="O35" t="s">
        <v>182</v>
      </c>
      <c r="P35" t="s">
        <v>182</v>
      </c>
      <c r="Q35" t="s">
        <v>182</v>
      </c>
      <c r="R35" t="s">
        <v>182</v>
      </c>
      <c r="S35" t="s">
        <v>183</v>
      </c>
      <c r="T35" t="s">
        <v>183</v>
      </c>
      <c r="U35" t="s">
        <v>182</v>
      </c>
      <c r="V35" t="s">
        <v>183</v>
      </c>
      <c r="W35" t="s">
        <v>182</v>
      </c>
      <c r="X35" t="s">
        <v>182</v>
      </c>
      <c r="Y35" t="s">
        <v>182</v>
      </c>
      <c r="Z35" t="s">
        <v>182</v>
      </c>
      <c r="AA35" t="s">
        <v>381</v>
      </c>
      <c r="AB35" t="s">
        <v>182</v>
      </c>
      <c r="AC35" t="s">
        <v>182</v>
      </c>
      <c r="AD35" t="s">
        <v>251</v>
      </c>
      <c r="AE35" t="s">
        <v>182</v>
      </c>
    </row>
    <row r="36" spans="1:31" x14ac:dyDescent="0.25">
      <c r="A36" t="s">
        <v>52</v>
      </c>
      <c r="B36">
        <v>750</v>
      </c>
      <c r="C36" t="s">
        <v>7</v>
      </c>
      <c r="D36" t="s">
        <v>5</v>
      </c>
      <c r="E36" t="s">
        <v>31</v>
      </c>
      <c r="F36" t="s">
        <v>216</v>
      </c>
      <c r="G36" t="s">
        <v>182</v>
      </c>
      <c r="H36" t="s">
        <v>164</v>
      </c>
      <c r="I36" t="s">
        <v>182</v>
      </c>
      <c r="J36" t="s">
        <v>182</v>
      </c>
      <c r="K36" t="s">
        <v>182</v>
      </c>
      <c r="L36" t="s">
        <v>182</v>
      </c>
      <c r="M36" t="s">
        <v>185</v>
      </c>
      <c r="N36" t="s">
        <v>182</v>
      </c>
      <c r="O36" t="s">
        <v>182</v>
      </c>
      <c r="P36" t="s">
        <v>182</v>
      </c>
      <c r="Q36" t="s">
        <v>182</v>
      </c>
      <c r="R36" t="s">
        <v>182</v>
      </c>
      <c r="S36" t="s">
        <v>183</v>
      </c>
      <c r="T36" t="s">
        <v>183</v>
      </c>
      <c r="U36" t="s">
        <v>182</v>
      </c>
      <c r="V36" t="s">
        <v>183</v>
      </c>
      <c r="W36" t="s">
        <v>182</v>
      </c>
      <c r="X36" t="s">
        <v>182</v>
      </c>
      <c r="Y36" t="s">
        <v>183</v>
      </c>
      <c r="Z36" t="s">
        <v>370</v>
      </c>
      <c r="AA36" t="s">
        <v>379</v>
      </c>
      <c r="AB36" t="s">
        <v>185</v>
      </c>
      <c r="AC36" t="s">
        <v>182</v>
      </c>
      <c r="AD36" t="s">
        <v>251</v>
      </c>
      <c r="AE36" t="s">
        <v>182</v>
      </c>
    </row>
    <row r="37" spans="1:31" x14ac:dyDescent="0.25">
      <c r="A37" t="s">
        <v>128</v>
      </c>
      <c r="B37">
        <v>600</v>
      </c>
      <c r="C37" t="s">
        <v>7</v>
      </c>
      <c r="D37" t="s">
        <v>5</v>
      </c>
      <c r="E37" t="s">
        <v>31</v>
      </c>
      <c r="F37" t="s">
        <v>217</v>
      </c>
      <c r="G37" t="s">
        <v>182</v>
      </c>
      <c r="H37" t="s">
        <v>164</v>
      </c>
      <c r="I37" t="s">
        <v>182</v>
      </c>
      <c r="J37" t="s">
        <v>182</v>
      </c>
      <c r="K37" t="s">
        <v>182</v>
      </c>
      <c r="L37" t="s">
        <v>182</v>
      </c>
      <c r="M37" t="s">
        <v>185</v>
      </c>
      <c r="N37" t="s">
        <v>182</v>
      </c>
      <c r="O37" t="s">
        <v>182</v>
      </c>
      <c r="P37" t="s">
        <v>182</v>
      </c>
      <c r="Q37" t="s">
        <v>182</v>
      </c>
      <c r="R37" t="s">
        <v>182</v>
      </c>
      <c r="S37" t="s">
        <v>182</v>
      </c>
      <c r="T37" t="s">
        <v>182</v>
      </c>
      <c r="U37" t="s">
        <v>182</v>
      </c>
      <c r="V37" t="s">
        <v>183</v>
      </c>
      <c r="W37" t="s">
        <v>182</v>
      </c>
      <c r="X37" t="s">
        <v>182</v>
      </c>
      <c r="Y37" t="s">
        <v>182</v>
      </c>
      <c r="Z37" t="s">
        <v>182</v>
      </c>
      <c r="AA37" t="s">
        <v>196</v>
      </c>
      <c r="AB37" t="s">
        <v>182</v>
      </c>
      <c r="AC37" t="s">
        <v>182</v>
      </c>
      <c r="AD37" t="s">
        <v>251</v>
      </c>
      <c r="AE37" t="s">
        <v>182</v>
      </c>
    </row>
    <row r="38" spans="1:31" x14ac:dyDescent="0.25">
      <c r="A38" t="s">
        <v>67</v>
      </c>
      <c r="B38">
        <v>200</v>
      </c>
      <c r="C38" t="s">
        <v>6</v>
      </c>
      <c r="D38" t="s">
        <v>5</v>
      </c>
      <c r="E38" t="s">
        <v>29</v>
      </c>
      <c r="F38" t="s">
        <v>218</v>
      </c>
      <c r="G38" t="s">
        <v>182</v>
      </c>
      <c r="H38" t="s">
        <v>164</v>
      </c>
      <c r="I38" t="s">
        <v>182</v>
      </c>
      <c r="J38" t="s">
        <v>182</v>
      </c>
      <c r="K38" t="s">
        <v>182</v>
      </c>
      <c r="L38" t="s">
        <v>182</v>
      </c>
      <c r="M38" t="s">
        <v>183</v>
      </c>
      <c r="N38" t="s">
        <v>183</v>
      </c>
      <c r="O38" t="s">
        <v>182</v>
      </c>
      <c r="P38" t="s">
        <v>182</v>
      </c>
      <c r="Q38" t="s">
        <v>182</v>
      </c>
      <c r="R38" t="s">
        <v>251</v>
      </c>
      <c r="S38" t="s">
        <v>182</v>
      </c>
      <c r="T38" t="s">
        <v>182</v>
      </c>
      <c r="U38" t="s">
        <v>182</v>
      </c>
      <c r="V38" t="s">
        <v>183</v>
      </c>
      <c r="W38" t="s">
        <v>182</v>
      </c>
      <c r="X38" t="s">
        <v>182</v>
      </c>
      <c r="Y38" t="s">
        <v>182</v>
      </c>
      <c r="Z38" t="s">
        <v>182</v>
      </c>
      <c r="AA38" t="s">
        <v>226</v>
      </c>
      <c r="AB38" t="s">
        <v>182</v>
      </c>
      <c r="AC38" t="s">
        <v>182</v>
      </c>
      <c r="AD38" t="s">
        <v>251</v>
      </c>
      <c r="AE38" t="s">
        <v>182</v>
      </c>
    </row>
    <row r="39" spans="1:31" x14ac:dyDescent="0.25">
      <c r="A39" t="s">
        <v>111</v>
      </c>
      <c r="B39">
        <v>250</v>
      </c>
      <c r="C39" t="s">
        <v>6</v>
      </c>
      <c r="D39" t="s">
        <v>5</v>
      </c>
      <c r="E39" t="s">
        <v>29</v>
      </c>
      <c r="F39" t="s">
        <v>219</v>
      </c>
      <c r="G39" t="s">
        <v>182</v>
      </c>
      <c r="H39" t="s">
        <v>164</v>
      </c>
      <c r="I39" t="s">
        <v>182</v>
      </c>
      <c r="J39" t="s">
        <v>182</v>
      </c>
      <c r="K39" t="s">
        <v>182</v>
      </c>
      <c r="L39" t="s">
        <v>182</v>
      </c>
      <c r="M39" t="s">
        <v>183</v>
      </c>
      <c r="N39" t="s">
        <v>183</v>
      </c>
      <c r="O39" t="s">
        <v>182</v>
      </c>
      <c r="P39" t="s">
        <v>182</v>
      </c>
      <c r="Q39" t="s">
        <v>182</v>
      </c>
      <c r="R39" t="s">
        <v>251</v>
      </c>
      <c r="S39" t="s">
        <v>182</v>
      </c>
      <c r="T39" t="s">
        <v>182</v>
      </c>
      <c r="U39" t="s">
        <v>182</v>
      </c>
      <c r="V39" t="s">
        <v>183</v>
      </c>
      <c r="W39" t="s">
        <v>182</v>
      </c>
      <c r="X39" t="s">
        <v>182</v>
      </c>
      <c r="Y39" t="s">
        <v>182</v>
      </c>
      <c r="Z39" t="s">
        <v>182</v>
      </c>
      <c r="AA39" t="s">
        <v>376</v>
      </c>
      <c r="AB39" t="s">
        <v>182</v>
      </c>
      <c r="AC39" t="s">
        <v>182</v>
      </c>
      <c r="AD39" t="s">
        <v>251</v>
      </c>
      <c r="AE39" t="s">
        <v>182</v>
      </c>
    </row>
    <row r="40" spans="1:31" x14ac:dyDescent="0.25">
      <c r="A40" t="s">
        <v>171</v>
      </c>
      <c r="B40">
        <v>200</v>
      </c>
      <c r="C40" t="s">
        <v>8</v>
      </c>
      <c r="D40" t="s">
        <v>5</v>
      </c>
      <c r="E40" t="s">
        <v>29</v>
      </c>
      <c r="F40" t="s">
        <v>220</v>
      </c>
      <c r="G40" t="s">
        <v>182</v>
      </c>
      <c r="H40" t="s">
        <v>164</v>
      </c>
      <c r="I40" t="s">
        <v>182</v>
      </c>
      <c r="J40" t="s">
        <v>182</v>
      </c>
      <c r="K40" t="s">
        <v>182</v>
      </c>
      <c r="L40" t="s">
        <v>182</v>
      </c>
      <c r="M40" t="s">
        <v>183</v>
      </c>
      <c r="N40" t="s">
        <v>183</v>
      </c>
      <c r="O40" t="s">
        <v>182</v>
      </c>
      <c r="P40" t="s">
        <v>182</v>
      </c>
      <c r="Q40" t="s">
        <v>182</v>
      </c>
      <c r="R40" t="s">
        <v>251</v>
      </c>
      <c r="S40" t="s">
        <v>182</v>
      </c>
      <c r="T40" t="s">
        <v>182</v>
      </c>
      <c r="U40" t="s">
        <v>182</v>
      </c>
      <c r="V40" t="s">
        <v>186</v>
      </c>
      <c r="W40" t="s">
        <v>330</v>
      </c>
      <c r="X40" t="s">
        <v>182</v>
      </c>
      <c r="Y40" t="s">
        <v>182</v>
      </c>
      <c r="Z40" t="s">
        <v>182</v>
      </c>
      <c r="AA40" t="s">
        <v>235</v>
      </c>
      <c r="AB40" t="s">
        <v>182</v>
      </c>
      <c r="AC40" t="s">
        <v>182</v>
      </c>
      <c r="AD40" t="s">
        <v>251</v>
      </c>
      <c r="AE40" t="s">
        <v>182</v>
      </c>
    </row>
    <row r="41" spans="1:31" x14ac:dyDescent="0.25">
      <c r="A41" t="s">
        <v>61</v>
      </c>
      <c r="B41">
        <v>225</v>
      </c>
      <c r="C41" t="s">
        <v>6</v>
      </c>
      <c r="D41" t="s">
        <v>5</v>
      </c>
      <c r="E41" t="s">
        <v>29</v>
      </c>
      <c r="F41" t="s">
        <v>221</v>
      </c>
      <c r="G41" t="s">
        <v>182</v>
      </c>
      <c r="H41" t="s">
        <v>164</v>
      </c>
      <c r="I41" t="s">
        <v>182</v>
      </c>
      <c r="J41" t="s">
        <v>182</v>
      </c>
      <c r="K41" t="s">
        <v>182</v>
      </c>
      <c r="L41" t="s">
        <v>182</v>
      </c>
      <c r="M41" t="s">
        <v>183</v>
      </c>
      <c r="N41" t="s">
        <v>183</v>
      </c>
      <c r="O41" t="s">
        <v>182</v>
      </c>
      <c r="P41" t="s">
        <v>182</v>
      </c>
      <c r="Q41" t="s">
        <v>182</v>
      </c>
      <c r="R41" t="s">
        <v>251</v>
      </c>
      <c r="S41" t="s">
        <v>182</v>
      </c>
      <c r="T41" t="s">
        <v>182</v>
      </c>
      <c r="U41" t="s">
        <v>182</v>
      </c>
      <c r="V41" t="s">
        <v>183</v>
      </c>
      <c r="W41" t="s">
        <v>182</v>
      </c>
      <c r="X41" t="s">
        <v>182</v>
      </c>
      <c r="Y41" t="s">
        <v>182</v>
      </c>
      <c r="Z41" t="s">
        <v>182</v>
      </c>
      <c r="AA41" t="s">
        <v>262</v>
      </c>
      <c r="AB41" t="s">
        <v>182</v>
      </c>
      <c r="AC41" t="s">
        <v>182</v>
      </c>
      <c r="AD41" t="s">
        <v>251</v>
      </c>
      <c r="AE41" t="s">
        <v>182</v>
      </c>
    </row>
    <row r="42" spans="1:31" x14ac:dyDescent="0.25">
      <c r="A42" t="s">
        <v>123</v>
      </c>
      <c r="B42">
        <v>380</v>
      </c>
      <c r="C42" t="s">
        <v>6</v>
      </c>
      <c r="D42" t="s">
        <v>5</v>
      </c>
      <c r="E42" t="s">
        <v>29</v>
      </c>
      <c r="F42" t="s">
        <v>222</v>
      </c>
      <c r="G42" t="s">
        <v>182</v>
      </c>
      <c r="H42" t="s">
        <v>164</v>
      </c>
      <c r="I42" t="s">
        <v>182</v>
      </c>
      <c r="J42" t="s">
        <v>182</v>
      </c>
      <c r="K42" t="s">
        <v>182</v>
      </c>
      <c r="L42" t="s">
        <v>182</v>
      </c>
      <c r="M42" t="s">
        <v>183</v>
      </c>
      <c r="N42" t="s">
        <v>183</v>
      </c>
      <c r="O42" t="s">
        <v>182</v>
      </c>
      <c r="P42" t="s">
        <v>182</v>
      </c>
      <c r="Q42" t="s">
        <v>182</v>
      </c>
      <c r="R42" t="s">
        <v>251</v>
      </c>
      <c r="S42" t="s">
        <v>182</v>
      </c>
      <c r="T42" t="s">
        <v>182</v>
      </c>
      <c r="U42" t="s">
        <v>182</v>
      </c>
      <c r="V42" t="s">
        <v>183</v>
      </c>
      <c r="W42" t="s">
        <v>182</v>
      </c>
      <c r="X42" t="s">
        <v>182</v>
      </c>
      <c r="Y42" t="s">
        <v>182</v>
      </c>
      <c r="Z42" t="s">
        <v>182</v>
      </c>
      <c r="AA42" t="s">
        <v>277</v>
      </c>
      <c r="AB42" t="s">
        <v>182</v>
      </c>
      <c r="AC42" t="s">
        <v>182</v>
      </c>
      <c r="AD42" t="s">
        <v>251</v>
      </c>
      <c r="AE42" t="s">
        <v>182</v>
      </c>
    </row>
    <row r="43" spans="1:31" x14ac:dyDescent="0.25">
      <c r="A43" t="s">
        <v>112</v>
      </c>
      <c r="B43">
        <v>250</v>
      </c>
      <c r="C43" t="s">
        <v>8</v>
      </c>
      <c r="D43" t="s">
        <v>5</v>
      </c>
      <c r="E43" t="s">
        <v>29</v>
      </c>
      <c r="F43" t="s">
        <v>223</v>
      </c>
      <c r="G43" t="s">
        <v>182</v>
      </c>
      <c r="H43" t="s">
        <v>164</v>
      </c>
      <c r="I43" t="s">
        <v>182</v>
      </c>
      <c r="J43" t="s">
        <v>182</v>
      </c>
      <c r="K43" t="s">
        <v>182</v>
      </c>
      <c r="L43" t="s">
        <v>182</v>
      </c>
      <c r="M43" t="s">
        <v>183</v>
      </c>
      <c r="N43" t="s">
        <v>183</v>
      </c>
      <c r="O43" t="s">
        <v>182</v>
      </c>
      <c r="P43" t="s">
        <v>182</v>
      </c>
      <c r="Q43" t="s">
        <v>182</v>
      </c>
      <c r="R43" t="s">
        <v>251</v>
      </c>
      <c r="S43" t="s">
        <v>182</v>
      </c>
      <c r="T43" t="s">
        <v>182</v>
      </c>
      <c r="U43" t="s">
        <v>182</v>
      </c>
      <c r="V43" t="s">
        <v>186</v>
      </c>
      <c r="W43" t="s">
        <v>330</v>
      </c>
      <c r="X43" t="s">
        <v>182</v>
      </c>
      <c r="Y43" t="s">
        <v>182</v>
      </c>
      <c r="Z43" t="s">
        <v>182</v>
      </c>
      <c r="AA43" t="s">
        <v>277</v>
      </c>
      <c r="AB43" t="s">
        <v>182</v>
      </c>
      <c r="AC43" t="s">
        <v>182</v>
      </c>
      <c r="AD43" t="s">
        <v>251</v>
      </c>
      <c r="AE43" t="s">
        <v>182</v>
      </c>
    </row>
    <row r="44" spans="1:31" x14ac:dyDescent="0.25">
      <c r="A44" t="s">
        <v>125</v>
      </c>
      <c r="B44">
        <v>225</v>
      </c>
      <c r="C44" t="s">
        <v>6</v>
      </c>
      <c r="D44" t="s">
        <v>5</v>
      </c>
      <c r="E44" t="s">
        <v>29</v>
      </c>
      <c r="F44" t="s">
        <v>224</v>
      </c>
      <c r="G44" t="s">
        <v>182</v>
      </c>
      <c r="H44" t="s">
        <v>164</v>
      </c>
      <c r="I44" t="s">
        <v>182</v>
      </c>
      <c r="J44" t="s">
        <v>182</v>
      </c>
      <c r="K44" t="s">
        <v>182</v>
      </c>
      <c r="L44" t="s">
        <v>182</v>
      </c>
      <c r="M44" t="s">
        <v>183</v>
      </c>
      <c r="N44" t="s">
        <v>183</v>
      </c>
      <c r="O44" t="s">
        <v>182</v>
      </c>
      <c r="P44" t="s">
        <v>182</v>
      </c>
      <c r="Q44" t="s">
        <v>182</v>
      </c>
      <c r="R44" t="s">
        <v>251</v>
      </c>
      <c r="S44" t="s">
        <v>182</v>
      </c>
      <c r="T44" t="s">
        <v>182</v>
      </c>
      <c r="U44" t="s">
        <v>182</v>
      </c>
      <c r="V44" t="s">
        <v>183</v>
      </c>
      <c r="W44" t="s">
        <v>182</v>
      </c>
      <c r="X44" t="s">
        <v>182</v>
      </c>
      <c r="Y44" t="s">
        <v>182</v>
      </c>
      <c r="Z44" t="s">
        <v>182</v>
      </c>
      <c r="AA44" t="s">
        <v>251</v>
      </c>
      <c r="AB44" t="s">
        <v>182</v>
      </c>
      <c r="AC44" t="s">
        <v>182</v>
      </c>
      <c r="AD44" t="s">
        <v>251</v>
      </c>
      <c r="AE44" t="s">
        <v>182</v>
      </c>
    </row>
    <row r="45" spans="1:31" x14ac:dyDescent="0.25">
      <c r="A45" t="s">
        <v>62</v>
      </c>
      <c r="B45">
        <v>450</v>
      </c>
      <c r="C45" t="s">
        <v>6</v>
      </c>
      <c r="D45" t="s">
        <v>5</v>
      </c>
      <c r="E45" t="s">
        <v>29</v>
      </c>
      <c r="F45" t="s">
        <v>225</v>
      </c>
      <c r="G45" t="s">
        <v>182</v>
      </c>
      <c r="H45" t="s">
        <v>164</v>
      </c>
      <c r="I45" t="s">
        <v>182</v>
      </c>
      <c r="J45" t="s">
        <v>182</v>
      </c>
      <c r="K45" t="s">
        <v>182</v>
      </c>
      <c r="L45" t="s">
        <v>182</v>
      </c>
      <c r="M45" t="s">
        <v>183</v>
      </c>
      <c r="N45" t="s">
        <v>183</v>
      </c>
      <c r="O45" t="s">
        <v>182</v>
      </c>
      <c r="P45" t="s">
        <v>182</v>
      </c>
      <c r="Q45" t="s">
        <v>182</v>
      </c>
      <c r="R45" t="s">
        <v>251</v>
      </c>
      <c r="S45" t="s">
        <v>182</v>
      </c>
      <c r="T45" t="s">
        <v>182</v>
      </c>
      <c r="U45" t="s">
        <v>182</v>
      </c>
      <c r="V45" t="s">
        <v>183</v>
      </c>
      <c r="W45" t="s">
        <v>182</v>
      </c>
      <c r="X45" t="s">
        <v>182</v>
      </c>
      <c r="Y45" t="s">
        <v>182</v>
      </c>
      <c r="Z45" t="s">
        <v>182</v>
      </c>
      <c r="AA45" t="s">
        <v>251</v>
      </c>
      <c r="AB45" t="s">
        <v>182</v>
      </c>
      <c r="AC45" t="s">
        <v>182</v>
      </c>
      <c r="AD45" t="s">
        <v>251</v>
      </c>
      <c r="AE45" t="s">
        <v>182</v>
      </c>
    </row>
    <row r="46" spans="1:31" x14ac:dyDescent="0.25">
      <c r="A46" t="s">
        <v>122</v>
      </c>
      <c r="B46">
        <v>500</v>
      </c>
      <c r="C46" t="s">
        <v>7</v>
      </c>
      <c r="D46" t="s">
        <v>5</v>
      </c>
      <c r="E46" t="s">
        <v>28</v>
      </c>
      <c r="F46" t="s">
        <v>226</v>
      </c>
      <c r="G46" t="s">
        <v>182</v>
      </c>
      <c r="H46" t="s">
        <v>164</v>
      </c>
      <c r="I46" t="s">
        <v>182</v>
      </c>
      <c r="J46" t="s">
        <v>182</v>
      </c>
      <c r="K46" t="s">
        <v>182</v>
      </c>
      <c r="L46" t="s">
        <v>182</v>
      </c>
      <c r="M46" t="s">
        <v>183</v>
      </c>
      <c r="N46" t="s">
        <v>183</v>
      </c>
      <c r="O46" t="s">
        <v>182</v>
      </c>
      <c r="P46" t="s">
        <v>182</v>
      </c>
      <c r="Q46" t="s">
        <v>182</v>
      </c>
      <c r="R46" t="s">
        <v>251</v>
      </c>
      <c r="S46" t="s">
        <v>183</v>
      </c>
      <c r="T46" t="s">
        <v>183</v>
      </c>
      <c r="U46" t="s">
        <v>182</v>
      </c>
      <c r="V46" t="s">
        <v>183</v>
      </c>
      <c r="W46" t="s">
        <v>182</v>
      </c>
      <c r="X46" t="s">
        <v>182</v>
      </c>
      <c r="Y46" t="s">
        <v>182</v>
      </c>
      <c r="Z46" t="s">
        <v>182</v>
      </c>
      <c r="AA46" t="s">
        <v>256</v>
      </c>
      <c r="AB46" t="s">
        <v>182</v>
      </c>
      <c r="AC46" t="s">
        <v>182</v>
      </c>
      <c r="AD46" t="s">
        <v>251</v>
      </c>
      <c r="AE46" t="s">
        <v>182</v>
      </c>
    </row>
    <row r="47" spans="1:31" x14ac:dyDescent="0.25">
      <c r="A47" t="s">
        <v>129</v>
      </c>
      <c r="B47">
        <v>500</v>
      </c>
      <c r="C47" t="s">
        <v>7</v>
      </c>
      <c r="D47" t="s">
        <v>5</v>
      </c>
      <c r="E47" t="s">
        <v>28</v>
      </c>
      <c r="F47" t="s">
        <v>227</v>
      </c>
      <c r="G47" t="s">
        <v>182</v>
      </c>
      <c r="H47" t="s">
        <v>164</v>
      </c>
      <c r="I47" t="s">
        <v>182</v>
      </c>
      <c r="J47" t="s">
        <v>182</v>
      </c>
      <c r="K47" t="s">
        <v>182</v>
      </c>
      <c r="L47" t="s">
        <v>182</v>
      </c>
      <c r="M47" t="s">
        <v>183</v>
      </c>
      <c r="N47" t="s">
        <v>183</v>
      </c>
      <c r="O47" t="s">
        <v>182</v>
      </c>
      <c r="P47" t="s">
        <v>182</v>
      </c>
      <c r="Q47" t="s">
        <v>182</v>
      </c>
      <c r="R47" t="s">
        <v>251</v>
      </c>
      <c r="S47" t="s">
        <v>182</v>
      </c>
      <c r="T47" t="s">
        <v>182</v>
      </c>
      <c r="U47" t="s">
        <v>182</v>
      </c>
      <c r="V47" t="s">
        <v>183</v>
      </c>
      <c r="W47" t="s">
        <v>182</v>
      </c>
      <c r="X47" t="s">
        <v>182</v>
      </c>
      <c r="Y47" t="s">
        <v>182</v>
      </c>
      <c r="Z47" t="s">
        <v>182</v>
      </c>
      <c r="AA47" t="s">
        <v>259</v>
      </c>
      <c r="AB47" t="s">
        <v>182</v>
      </c>
      <c r="AC47" t="s">
        <v>182</v>
      </c>
      <c r="AD47" t="s">
        <v>251</v>
      </c>
      <c r="AE47" t="s">
        <v>182</v>
      </c>
    </row>
    <row r="48" spans="1:31" x14ac:dyDescent="0.25">
      <c r="A48" t="s">
        <v>163</v>
      </c>
      <c r="B48">
        <v>800</v>
      </c>
      <c r="C48" t="s">
        <v>7</v>
      </c>
      <c r="D48" t="s">
        <v>5</v>
      </c>
      <c r="E48" t="s">
        <v>28</v>
      </c>
      <c r="F48" t="s">
        <v>228</v>
      </c>
      <c r="G48" t="s">
        <v>182</v>
      </c>
      <c r="H48" t="s">
        <v>164</v>
      </c>
      <c r="I48" t="s">
        <v>182</v>
      </c>
      <c r="J48" t="s">
        <v>182</v>
      </c>
      <c r="K48" t="s">
        <v>182</v>
      </c>
      <c r="L48" t="s">
        <v>182</v>
      </c>
      <c r="M48" t="s">
        <v>183</v>
      </c>
      <c r="N48" t="s">
        <v>183</v>
      </c>
      <c r="O48" t="s">
        <v>182</v>
      </c>
      <c r="P48" t="s">
        <v>182</v>
      </c>
      <c r="Q48" t="s">
        <v>182</v>
      </c>
      <c r="R48" t="s">
        <v>251</v>
      </c>
      <c r="S48" t="s">
        <v>183</v>
      </c>
      <c r="T48" t="s">
        <v>183</v>
      </c>
      <c r="U48" t="s">
        <v>182</v>
      </c>
      <c r="V48" t="s">
        <v>183</v>
      </c>
      <c r="W48" t="s">
        <v>182</v>
      </c>
      <c r="X48" t="s">
        <v>182</v>
      </c>
      <c r="Y48" t="s">
        <v>182</v>
      </c>
      <c r="Z48" t="s">
        <v>182</v>
      </c>
      <c r="AA48" t="s">
        <v>186</v>
      </c>
      <c r="AB48" t="s">
        <v>182</v>
      </c>
      <c r="AC48" t="s">
        <v>182</v>
      </c>
      <c r="AD48" t="s">
        <v>251</v>
      </c>
      <c r="AE48" t="s">
        <v>182</v>
      </c>
    </row>
    <row r="49" spans="1:31" x14ac:dyDescent="0.25">
      <c r="A49" t="s">
        <v>103</v>
      </c>
      <c r="B49">
        <v>900</v>
      </c>
      <c r="C49" t="s">
        <v>7</v>
      </c>
      <c r="D49" t="s">
        <v>5</v>
      </c>
      <c r="E49" t="s">
        <v>28</v>
      </c>
      <c r="F49" t="s">
        <v>229</v>
      </c>
      <c r="G49" t="s">
        <v>182</v>
      </c>
      <c r="H49" t="s">
        <v>164</v>
      </c>
      <c r="I49" t="s">
        <v>182</v>
      </c>
      <c r="J49" t="s">
        <v>182</v>
      </c>
      <c r="K49" t="s">
        <v>182</v>
      </c>
      <c r="L49" t="s">
        <v>182</v>
      </c>
      <c r="M49" t="s">
        <v>183</v>
      </c>
      <c r="N49" t="s">
        <v>183</v>
      </c>
      <c r="O49" t="s">
        <v>182</v>
      </c>
      <c r="P49" t="s">
        <v>182</v>
      </c>
      <c r="Q49" t="s">
        <v>182</v>
      </c>
      <c r="R49" t="s">
        <v>251</v>
      </c>
      <c r="S49" t="s">
        <v>183</v>
      </c>
      <c r="T49" t="s">
        <v>183</v>
      </c>
      <c r="U49" t="s">
        <v>182</v>
      </c>
      <c r="V49" t="s">
        <v>183</v>
      </c>
      <c r="W49" t="s">
        <v>182</v>
      </c>
      <c r="X49" t="s">
        <v>182</v>
      </c>
      <c r="Y49" t="s">
        <v>182</v>
      </c>
      <c r="Z49" t="s">
        <v>182</v>
      </c>
      <c r="AA49" t="s">
        <v>380</v>
      </c>
      <c r="AB49" t="s">
        <v>182</v>
      </c>
      <c r="AC49" t="s">
        <v>182</v>
      </c>
      <c r="AD49" t="s">
        <v>251</v>
      </c>
      <c r="AE49" t="s">
        <v>182</v>
      </c>
    </row>
    <row r="50" spans="1:31" x14ac:dyDescent="0.25">
      <c r="A50" t="s">
        <v>70</v>
      </c>
      <c r="B50">
        <v>800</v>
      </c>
      <c r="C50" t="s">
        <v>7</v>
      </c>
      <c r="D50" t="s">
        <v>5</v>
      </c>
      <c r="E50" t="s">
        <v>28</v>
      </c>
      <c r="F50" t="s">
        <v>230</v>
      </c>
      <c r="G50" t="s">
        <v>182</v>
      </c>
      <c r="H50" t="s">
        <v>164</v>
      </c>
      <c r="I50" t="s">
        <v>182</v>
      </c>
      <c r="J50" t="s">
        <v>182</v>
      </c>
      <c r="K50" t="s">
        <v>182</v>
      </c>
      <c r="L50" t="s">
        <v>182</v>
      </c>
      <c r="M50" t="s">
        <v>183</v>
      </c>
      <c r="N50" t="s">
        <v>183</v>
      </c>
      <c r="O50" t="s">
        <v>182</v>
      </c>
      <c r="P50" t="s">
        <v>182</v>
      </c>
      <c r="Q50" t="s">
        <v>182</v>
      </c>
      <c r="R50" t="s">
        <v>251</v>
      </c>
      <c r="S50" t="s">
        <v>182</v>
      </c>
      <c r="T50" t="s">
        <v>182</v>
      </c>
      <c r="U50" t="s">
        <v>182</v>
      </c>
      <c r="V50" t="s">
        <v>183</v>
      </c>
      <c r="W50" t="s">
        <v>182</v>
      </c>
      <c r="X50" t="s">
        <v>182</v>
      </c>
      <c r="Y50" t="s">
        <v>182</v>
      </c>
      <c r="Z50" t="s">
        <v>182</v>
      </c>
      <c r="AA50" t="s">
        <v>259</v>
      </c>
      <c r="AB50" t="s">
        <v>182</v>
      </c>
      <c r="AC50" t="s">
        <v>182</v>
      </c>
      <c r="AD50" t="s">
        <v>251</v>
      </c>
      <c r="AE50" t="s">
        <v>182</v>
      </c>
    </row>
    <row r="51" spans="1:31" x14ac:dyDescent="0.25">
      <c r="A51" t="s">
        <v>114</v>
      </c>
      <c r="B51">
        <v>1000</v>
      </c>
      <c r="C51" t="s">
        <v>7</v>
      </c>
      <c r="D51" t="s">
        <v>5</v>
      </c>
      <c r="E51" t="s">
        <v>28</v>
      </c>
      <c r="F51" t="s">
        <v>231</v>
      </c>
      <c r="G51" t="s">
        <v>182</v>
      </c>
      <c r="H51" t="s">
        <v>164</v>
      </c>
      <c r="I51" t="s">
        <v>182</v>
      </c>
      <c r="J51" t="s">
        <v>182</v>
      </c>
      <c r="K51" t="s">
        <v>182</v>
      </c>
      <c r="L51" t="s">
        <v>182</v>
      </c>
      <c r="M51" t="s">
        <v>183</v>
      </c>
      <c r="N51" t="s">
        <v>183</v>
      </c>
      <c r="O51" t="s">
        <v>182</v>
      </c>
      <c r="P51" t="s">
        <v>182</v>
      </c>
      <c r="Q51" t="s">
        <v>182</v>
      </c>
      <c r="R51" t="s">
        <v>251</v>
      </c>
      <c r="S51" t="s">
        <v>183</v>
      </c>
      <c r="T51" t="s">
        <v>183</v>
      </c>
      <c r="U51" t="s">
        <v>182</v>
      </c>
      <c r="V51" t="s">
        <v>183</v>
      </c>
      <c r="W51" t="s">
        <v>182</v>
      </c>
      <c r="X51" t="s">
        <v>182</v>
      </c>
      <c r="Y51" t="s">
        <v>182</v>
      </c>
      <c r="Z51" t="s">
        <v>182</v>
      </c>
      <c r="AA51" t="s">
        <v>256</v>
      </c>
      <c r="AB51" t="s">
        <v>182</v>
      </c>
      <c r="AC51" t="s">
        <v>182</v>
      </c>
      <c r="AD51" t="s">
        <v>251</v>
      </c>
      <c r="AE51" t="s">
        <v>182</v>
      </c>
    </row>
    <row r="52" spans="1:31" x14ac:dyDescent="0.25">
      <c r="A52" t="s">
        <v>130</v>
      </c>
      <c r="B52">
        <v>20</v>
      </c>
      <c r="C52" t="s">
        <v>7</v>
      </c>
      <c r="D52" t="s">
        <v>5</v>
      </c>
      <c r="E52" t="s">
        <v>32</v>
      </c>
      <c r="F52" t="s">
        <v>232</v>
      </c>
      <c r="G52" t="s">
        <v>182</v>
      </c>
      <c r="H52" t="s">
        <v>164</v>
      </c>
      <c r="I52" t="s">
        <v>182</v>
      </c>
      <c r="J52" t="s">
        <v>182</v>
      </c>
      <c r="K52" t="s">
        <v>182</v>
      </c>
      <c r="L52" t="s">
        <v>182</v>
      </c>
      <c r="M52" t="s">
        <v>183</v>
      </c>
      <c r="N52" t="s">
        <v>182</v>
      </c>
      <c r="O52" t="s">
        <v>182</v>
      </c>
      <c r="P52" t="s">
        <v>182</v>
      </c>
      <c r="Q52" t="s">
        <v>182</v>
      </c>
      <c r="R52" t="s">
        <v>182</v>
      </c>
      <c r="S52" t="s">
        <v>182</v>
      </c>
      <c r="T52" t="s">
        <v>182</v>
      </c>
      <c r="U52" t="s">
        <v>182</v>
      </c>
      <c r="V52" t="s">
        <v>183</v>
      </c>
      <c r="W52" t="s">
        <v>182</v>
      </c>
      <c r="X52" t="s">
        <v>182</v>
      </c>
      <c r="Y52" t="s">
        <v>182</v>
      </c>
      <c r="Z52" t="s">
        <v>182</v>
      </c>
      <c r="AA52" t="s">
        <v>378</v>
      </c>
      <c r="AB52" t="s">
        <v>182</v>
      </c>
      <c r="AC52" t="s">
        <v>182</v>
      </c>
      <c r="AD52" t="s">
        <v>251</v>
      </c>
      <c r="AE52" t="s">
        <v>182</v>
      </c>
    </row>
    <row r="53" spans="1:31" x14ac:dyDescent="0.25">
      <c r="A53" t="s">
        <v>121</v>
      </c>
      <c r="B53">
        <v>55</v>
      </c>
      <c r="C53" t="s">
        <v>7</v>
      </c>
      <c r="D53" t="s">
        <v>5</v>
      </c>
      <c r="E53" t="s">
        <v>32</v>
      </c>
      <c r="F53" t="s">
        <v>233</v>
      </c>
      <c r="G53" t="s">
        <v>182</v>
      </c>
      <c r="H53" t="s">
        <v>164</v>
      </c>
      <c r="I53" t="s">
        <v>182</v>
      </c>
      <c r="J53" t="s">
        <v>182</v>
      </c>
      <c r="K53" t="s">
        <v>182</v>
      </c>
      <c r="L53" t="s">
        <v>182</v>
      </c>
      <c r="M53" t="s">
        <v>183</v>
      </c>
      <c r="N53" t="s">
        <v>182</v>
      </c>
      <c r="O53" t="s">
        <v>182</v>
      </c>
      <c r="P53" t="s">
        <v>182</v>
      </c>
      <c r="Q53" t="s">
        <v>182</v>
      </c>
      <c r="R53" t="s">
        <v>251</v>
      </c>
      <c r="S53" t="s">
        <v>182</v>
      </c>
      <c r="T53" t="s">
        <v>182</v>
      </c>
      <c r="U53" t="s">
        <v>182</v>
      </c>
      <c r="V53" t="s">
        <v>183</v>
      </c>
      <c r="W53" t="s">
        <v>182</v>
      </c>
      <c r="X53" t="s">
        <v>182</v>
      </c>
      <c r="Y53" t="s">
        <v>182</v>
      </c>
      <c r="Z53" t="s">
        <v>182</v>
      </c>
      <c r="AA53" t="s">
        <v>378</v>
      </c>
      <c r="AB53" t="s">
        <v>182</v>
      </c>
      <c r="AC53" t="s">
        <v>182</v>
      </c>
      <c r="AD53" t="s">
        <v>251</v>
      </c>
      <c r="AE53" t="s">
        <v>182</v>
      </c>
    </row>
    <row r="54" spans="1:31" x14ac:dyDescent="0.25">
      <c r="A54" t="s">
        <v>147</v>
      </c>
      <c r="B54">
        <v>100</v>
      </c>
      <c r="C54" t="s">
        <v>4</v>
      </c>
      <c r="D54" t="s">
        <v>5</v>
      </c>
      <c r="E54" t="s">
        <v>32</v>
      </c>
      <c r="F54" t="s">
        <v>234</v>
      </c>
      <c r="G54" t="s">
        <v>182</v>
      </c>
      <c r="H54" t="s">
        <v>164</v>
      </c>
      <c r="I54" t="s">
        <v>182</v>
      </c>
      <c r="J54" t="s">
        <v>182</v>
      </c>
      <c r="K54" t="s">
        <v>182</v>
      </c>
      <c r="L54" t="s">
        <v>182</v>
      </c>
      <c r="M54" t="s">
        <v>183</v>
      </c>
      <c r="N54" t="s">
        <v>182</v>
      </c>
      <c r="O54" t="s">
        <v>182</v>
      </c>
      <c r="P54" t="s">
        <v>182</v>
      </c>
      <c r="Q54" t="s">
        <v>182</v>
      </c>
      <c r="R54" t="s">
        <v>251</v>
      </c>
      <c r="S54" t="s">
        <v>182</v>
      </c>
      <c r="T54" t="s">
        <v>182</v>
      </c>
      <c r="U54" t="s">
        <v>182</v>
      </c>
      <c r="V54" t="s">
        <v>357</v>
      </c>
      <c r="W54" t="s">
        <v>251</v>
      </c>
      <c r="X54" t="s">
        <v>182</v>
      </c>
      <c r="Y54" t="s">
        <v>182</v>
      </c>
      <c r="Z54" t="s">
        <v>182</v>
      </c>
      <c r="AA54" t="s">
        <v>191</v>
      </c>
      <c r="AB54" t="s">
        <v>182</v>
      </c>
      <c r="AC54" t="s">
        <v>182</v>
      </c>
      <c r="AD54" t="s">
        <v>251</v>
      </c>
      <c r="AE54" t="s">
        <v>182</v>
      </c>
    </row>
    <row r="55" spans="1:31" x14ac:dyDescent="0.25">
      <c r="A55" t="s">
        <v>140</v>
      </c>
      <c r="B55">
        <v>150</v>
      </c>
      <c r="C55" t="s">
        <v>6</v>
      </c>
      <c r="D55" t="s">
        <v>5</v>
      </c>
      <c r="E55" t="s">
        <v>32</v>
      </c>
      <c r="F55" t="s">
        <v>235</v>
      </c>
      <c r="G55" t="s">
        <v>182</v>
      </c>
      <c r="H55" t="s">
        <v>164</v>
      </c>
      <c r="I55" t="s">
        <v>182</v>
      </c>
      <c r="J55" t="s">
        <v>182</v>
      </c>
      <c r="K55" t="s">
        <v>182</v>
      </c>
      <c r="L55" t="s">
        <v>182</v>
      </c>
      <c r="M55" t="s">
        <v>183</v>
      </c>
      <c r="N55" t="s">
        <v>182</v>
      </c>
      <c r="O55" t="s">
        <v>182</v>
      </c>
      <c r="P55" t="s">
        <v>182</v>
      </c>
      <c r="Q55" t="s">
        <v>182</v>
      </c>
      <c r="R55" t="s">
        <v>251</v>
      </c>
      <c r="S55" t="s">
        <v>182</v>
      </c>
      <c r="T55" t="s">
        <v>182</v>
      </c>
      <c r="U55" t="s">
        <v>182</v>
      </c>
      <c r="V55" t="s">
        <v>183</v>
      </c>
      <c r="W55" t="s">
        <v>182</v>
      </c>
      <c r="X55" t="s">
        <v>182</v>
      </c>
      <c r="Y55" t="s">
        <v>182</v>
      </c>
      <c r="Z55" t="s">
        <v>182</v>
      </c>
      <c r="AA55" t="s">
        <v>259</v>
      </c>
      <c r="AB55" t="s">
        <v>182</v>
      </c>
      <c r="AC55" t="s">
        <v>182</v>
      </c>
      <c r="AD55" t="s">
        <v>251</v>
      </c>
      <c r="AE55" t="s">
        <v>182</v>
      </c>
    </row>
    <row r="56" spans="1:31" x14ac:dyDescent="0.25">
      <c r="A56" t="s">
        <v>104</v>
      </c>
      <c r="B56">
        <v>1000</v>
      </c>
      <c r="C56" t="s">
        <v>7</v>
      </c>
      <c r="D56" t="s">
        <v>21</v>
      </c>
      <c r="E56" t="s">
        <v>32</v>
      </c>
      <c r="F56" t="s">
        <v>236</v>
      </c>
      <c r="G56" t="s">
        <v>182</v>
      </c>
      <c r="H56" t="s">
        <v>20</v>
      </c>
      <c r="I56" t="s">
        <v>237</v>
      </c>
      <c r="J56" t="s">
        <v>226</v>
      </c>
      <c r="K56" t="s">
        <v>182</v>
      </c>
      <c r="L56" t="s">
        <v>182</v>
      </c>
      <c r="M56" t="s">
        <v>182</v>
      </c>
      <c r="N56" t="s">
        <v>182</v>
      </c>
      <c r="O56" t="s">
        <v>183</v>
      </c>
      <c r="P56" t="s">
        <v>182</v>
      </c>
      <c r="Q56" t="s">
        <v>182</v>
      </c>
      <c r="R56" t="s">
        <v>251</v>
      </c>
      <c r="S56" t="s">
        <v>182</v>
      </c>
      <c r="T56" t="s">
        <v>182</v>
      </c>
      <c r="U56" t="s">
        <v>182</v>
      </c>
      <c r="V56" t="s">
        <v>183</v>
      </c>
      <c r="W56" t="s">
        <v>355</v>
      </c>
      <c r="X56" t="s">
        <v>182</v>
      </c>
      <c r="Y56" t="s">
        <v>182</v>
      </c>
      <c r="Z56" t="s">
        <v>182</v>
      </c>
      <c r="AA56" t="s">
        <v>186</v>
      </c>
      <c r="AB56" t="s">
        <v>182</v>
      </c>
      <c r="AC56" t="s">
        <v>182</v>
      </c>
      <c r="AD56" t="s">
        <v>182</v>
      </c>
      <c r="AE56" t="s">
        <v>238</v>
      </c>
    </row>
    <row r="57" spans="1:31" x14ac:dyDescent="0.25">
      <c r="A57" t="s">
        <v>68</v>
      </c>
      <c r="B57">
        <v>1000</v>
      </c>
      <c r="C57" t="s">
        <v>7</v>
      </c>
      <c r="D57" t="s">
        <v>21</v>
      </c>
      <c r="E57" t="s">
        <v>32</v>
      </c>
      <c r="F57" t="s">
        <v>238</v>
      </c>
      <c r="G57" t="s">
        <v>182</v>
      </c>
      <c r="H57" t="s">
        <v>20</v>
      </c>
      <c r="I57" t="s">
        <v>237</v>
      </c>
      <c r="J57" t="s">
        <v>226</v>
      </c>
      <c r="K57" t="s">
        <v>182</v>
      </c>
      <c r="L57" t="s">
        <v>182</v>
      </c>
      <c r="M57" t="s">
        <v>182</v>
      </c>
      <c r="N57" t="s">
        <v>182</v>
      </c>
      <c r="O57" t="s">
        <v>183</v>
      </c>
      <c r="P57" t="s">
        <v>182</v>
      </c>
      <c r="Q57" t="s">
        <v>182</v>
      </c>
      <c r="R57" t="s">
        <v>182</v>
      </c>
      <c r="S57" t="s">
        <v>182</v>
      </c>
      <c r="T57" t="s">
        <v>182</v>
      </c>
      <c r="U57" t="s">
        <v>182</v>
      </c>
      <c r="V57" t="s">
        <v>183</v>
      </c>
      <c r="W57" t="s">
        <v>182</v>
      </c>
      <c r="X57" t="s">
        <v>182</v>
      </c>
      <c r="Y57" t="s">
        <v>182</v>
      </c>
      <c r="Z57" t="s">
        <v>182</v>
      </c>
      <c r="AA57" t="s">
        <v>186</v>
      </c>
      <c r="AB57" t="s">
        <v>182</v>
      </c>
      <c r="AC57" t="s">
        <v>182</v>
      </c>
      <c r="AD57" t="s">
        <v>182</v>
      </c>
      <c r="AE57" t="s">
        <v>236</v>
      </c>
    </row>
    <row r="58" spans="1:31" x14ac:dyDescent="0.25">
      <c r="A58" t="s">
        <v>49</v>
      </c>
      <c r="B58">
        <v>300</v>
      </c>
      <c r="C58" t="s">
        <v>4</v>
      </c>
      <c r="D58" t="s">
        <v>5</v>
      </c>
      <c r="E58" t="s">
        <v>32</v>
      </c>
      <c r="F58" t="s">
        <v>239</v>
      </c>
      <c r="G58" t="s">
        <v>182</v>
      </c>
      <c r="H58" t="s">
        <v>164</v>
      </c>
      <c r="I58" t="s">
        <v>182</v>
      </c>
      <c r="J58" t="s">
        <v>182</v>
      </c>
      <c r="K58" t="s">
        <v>182</v>
      </c>
      <c r="L58" t="s">
        <v>182</v>
      </c>
      <c r="M58" t="s">
        <v>183</v>
      </c>
      <c r="N58" t="s">
        <v>182</v>
      </c>
      <c r="O58" t="s">
        <v>182</v>
      </c>
      <c r="P58" t="s">
        <v>182</v>
      </c>
      <c r="Q58" t="s">
        <v>182</v>
      </c>
      <c r="R58" t="s">
        <v>251</v>
      </c>
      <c r="S58" t="s">
        <v>182</v>
      </c>
      <c r="T58" t="s">
        <v>182</v>
      </c>
      <c r="U58" t="s">
        <v>182</v>
      </c>
      <c r="V58" t="s">
        <v>357</v>
      </c>
      <c r="W58" t="s">
        <v>251</v>
      </c>
      <c r="X58" t="s">
        <v>182</v>
      </c>
      <c r="Y58" t="s">
        <v>182</v>
      </c>
      <c r="Z58" t="s">
        <v>182</v>
      </c>
      <c r="AA58" t="s">
        <v>374</v>
      </c>
      <c r="AB58" t="s">
        <v>182</v>
      </c>
      <c r="AC58" t="s">
        <v>182</v>
      </c>
      <c r="AD58" t="s">
        <v>251</v>
      </c>
      <c r="AE58" t="s">
        <v>182</v>
      </c>
    </row>
    <row r="59" spans="1:31" x14ac:dyDescent="0.25">
      <c r="A59" t="s">
        <v>83</v>
      </c>
      <c r="B59">
        <v>225</v>
      </c>
      <c r="C59" t="s">
        <v>6</v>
      </c>
      <c r="D59" t="s">
        <v>5</v>
      </c>
      <c r="E59" t="s">
        <v>32</v>
      </c>
      <c r="F59" t="s">
        <v>240</v>
      </c>
      <c r="G59" t="s">
        <v>182</v>
      </c>
      <c r="H59" t="s">
        <v>164</v>
      </c>
      <c r="I59" t="s">
        <v>182</v>
      </c>
      <c r="J59" t="s">
        <v>182</v>
      </c>
      <c r="K59" t="s">
        <v>182</v>
      </c>
      <c r="L59" t="s">
        <v>182</v>
      </c>
      <c r="M59" t="s">
        <v>183</v>
      </c>
      <c r="N59" t="s">
        <v>182</v>
      </c>
      <c r="O59" t="s">
        <v>182</v>
      </c>
      <c r="P59" t="s">
        <v>182</v>
      </c>
      <c r="Q59" t="s">
        <v>182</v>
      </c>
      <c r="R59" t="s">
        <v>251</v>
      </c>
      <c r="S59" t="s">
        <v>182</v>
      </c>
      <c r="T59" t="s">
        <v>182</v>
      </c>
      <c r="U59" t="s">
        <v>182</v>
      </c>
      <c r="V59" t="s">
        <v>183</v>
      </c>
      <c r="W59" t="s">
        <v>182</v>
      </c>
      <c r="X59" t="s">
        <v>182</v>
      </c>
      <c r="Y59" t="s">
        <v>182</v>
      </c>
      <c r="Z59" t="s">
        <v>182</v>
      </c>
      <c r="AA59" t="s">
        <v>375</v>
      </c>
      <c r="AB59" t="s">
        <v>182</v>
      </c>
      <c r="AC59" t="s">
        <v>182</v>
      </c>
      <c r="AD59" t="s">
        <v>251</v>
      </c>
      <c r="AE59" t="s">
        <v>182</v>
      </c>
    </row>
    <row r="60" spans="1:31" x14ac:dyDescent="0.25">
      <c r="A60" t="s">
        <v>148</v>
      </c>
      <c r="B60">
        <v>1000</v>
      </c>
      <c r="C60" t="s">
        <v>7</v>
      </c>
      <c r="D60" t="s">
        <v>21</v>
      </c>
      <c r="E60" t="s">
        <v>32</v>
      </c>
      <c r="F60" t="s">
        <v>241</v>
      </c>
      <c r="G60" t="s">
        <v>182</v>
      </c>
      <c r="H60" t="s">
        <v>20</v>
      </c>
      <c r="I60" t="s">
        <v>237</v>
      </c>
      <c r="J60" t="s">
        <v>226</v>
      </c>
      <c r="K60" t="s">
        <v>182</v>
      </c>
      <c r="L60" t="s">
        <v>182</v>
      </c>
      <c r="M60" t="s">
        <v>182</v>
      </c>
      <c r="N60" t="s">
        <v>182</v>
      </c>
      <c r="O60" t="s">
        <v>183</v>
      </c>
      <c r="P60" t="s">
        <v>182</v>
      </c>
      <c r="Q60" t="s">
        <v>182</v>
      </c>
      <c r="R60" t="s">
        <v>251</v>
      </c>
      <c r="S60" t="s">
        <v>182</v>
      </c>
      <c r="T60" t="s">
        <v>182</v>
      </c>
      <c r="U60" t="s">
        <v>182</v>
      </c>
      <c r="V60" t="s">
        <v>183</v>
      </c>
      <c r="W60" t="s">
        <v>182</v>
      </c>
      <c r="X60" t="s">
        <v>182</v>
      </c>
      <c r="Y60" t="s">
        <v>182</v>
      </c>
      <c r="Z60" t="s">
        <v>182</v>
      </c>
      <c r="AA60" t="s">
        <v>378</v>
      </c>
      <c r="AB60" t="s">
        <v>182</v>
      </c>
      <c r="AC60" t="s">
        <v>182</v>
      </c>
      <c r="AD60" t="s">
        <v>182</v>
      </c>
      <c r="AE60" t="s">
        <v>242</v>
      </c>
    </row>
    <row r="61" spans="1:31" x14ac:dyDescent="0.25">
      <c r="A61" t="s">
        <v>44</v>
      </c>
      <c r="B61">
        <v>1000</v>
      </c>
      <c r="C61" t="s">
        <v>7</v>
      </c>
      <c r="D61" t="s">
        <v>21</v>
      </c>
      <c r="E61" t="s">
        <v>32</v>
      </c>
      <c r="F61" t="s">
        <v>242</v>
      </c>
      <c r="G61" t="s">
        <v>182</v>
      </c>
      <c r="H61" t="s">
        <v>20</v>
      </c>
      <c r="I61" t="s">
        <v>237</v>
      </c>
      <c r="J61" t="s">
        <v>226</v>
      </c>
      <c r="K61" t="s">
        <v>182</v>
      </c>
      <c r="L61" t="s">
        <v>182</v>
      </c>
      <c r="M61" t="s">
        <v>182</v>
      </c>
      <c r="N61" t="s">
        <v>182</v>
      </c>
      <c r="O61" t="s">
        <v>183</v>
      </c>
      <c r="P61" t="s">
        <v>182</v>
      </c>
      <c r="Q61" t="s">
        <v>182</v>
      </c>
      <c r="R61" t="s">
        <v>182</v>
      </c>
      <c r="S61" t="s">
        <v>182</v>
      </c>
      <c r="T61" t="s">
        <v>182</v>
      </c>
      <c r="U61" t="s">
        <v>182</v>
      </c>
      <c r="V61" t="s">
        <v>183</v>
      </c>
      <c r="W61" t="s">
        <v>182</v>
      </c>
      <c r="X61" t="s">
        <v>182</v>
      </c>
      <c r="Y61" t="s">
        <v>182</v>
      </c>
      <c r="Z61" t="s">
        <v>182</v>
      </c>
      <c r="AA61" t="s">
        <v>378</v>
      </c>
      <c r="AB61" t="s">
        <v>182</v>
      </c>
      <c r="AC61" t="s">
        <v>182</v>
      </c>
      <c r="AD61" t="s">
        <v>182</v>
      </c>
      <c r="AE61" t="s">
        <v>241</v>
      </c>
    </row>
    <row r="62" spans="1:31" x14ac:dyDescent="0.25">
      <c r="A62" t="s">
        <v>96</v>
      </c>
      <c r="B62">
        <v>7000</v>
      </c>
      <c r="C62" t="s">
        <v>7</v>
      </c>
      <c r="D62" t="s">
        <v>21</v>
      </c>
      <c r="E62" t="s">
        <v>33</v>
      </c>
      <c r="F62" t="s">
        <v>243</v>
      </c>
      <c r="G62" t="s">
        <v>182</v>
      </c>
      <c r="H62" t="s">
        <v>244</v>
      </c>
      <c r="I62" t="s">
        <v>245</v>
      </c>
      <c r="J62" t="s">
        <v>246</v>
      </c>
      <c r="K62" t="s">
        <v>182</v>
      </c>
      <c r="L62" t="s">
        <v>182</v>
      </c>
      <c r="M62" t="s">
        <v>182</v>
      </c>
      <c r="N62" t="s">
        <v>182</v>
      </c>
      <c r="O62" t="s">
        <v>182</v>
      </c>
      <c r="P62" t="s">
        <v>182</v>
      </c>
      <c r="Q62" t="s">
        <v>182</v>
      </c>
      <c r="R62" t="s">
        <v>251</v>
      </c>
      <c r="S62" t="s">
        <v>182</v>
      </c>
      <c r="T62" t="s">
        <v>182</v>
      </c>
      <c r="U62" t="s">
        <v>182</v>
      </c>
      <c r="V62" t="s">
        <v>183</v>
      </c>
      <c r="W62" t="s">
        <v>355</v>
      </c>
      <c r="X62" t="s">
        <v>182</v>
      </c>
      <c r="Y62" t="s">
        <v>182</v>
      </c>
      <c r="Z62" t="s">
        <v>182</v>
      </c>
      <c r="AA62" t="s">
        <v>183</v>
      </c>
      <c r="AB62" t="s">
        <v>183</v>
      </c>
      <c r="AC62" t="s">
        <v>182</v>
      </c>
      <c r="AD62" t="s">
        <v>182</v>
      </c>
      <c r="AE62" t="s">
        <v>182</v>
      </c>
    </row>
    <row r="63" spans="1:31" x14ac:dyDescent="0.25">
      <c r="A63" t="s">
        <v>137</v>
      </c>
      <c r="B63">
        <v>10000</v>
      </c>
      <c r="C63" t="s">
        <v>7</v>
      </c>
      <c r="D63" t="s">
        <v>21</v>
      </c>
      <c r="E63" t="s">
        <v>33</v>
      </c>
      <c r="F63" t="s">
        <v>247</v>
      </c>
      <c r="G63" t="s">
        <v>182</v>
      </c>
      <c r="H63" t="s">
        <v>244</v>
      </c>
      <c r="I63" t="s">
        <v>248</v>
      </c>
      <c r="J63" t="s">
        <v>249</v>
      </c>
      <c r="K63" t="s">
        <v>182</v>
      </c>
      <c r="L63" t="s">
        <v>182</v>
      </c>
      <c r="M63" t="s">
        <v>182</v>
      </c>
      <c r="N63" t="s">
        <v>182</v>
      </c>
      <c r="O63" t="s">
        <v>182</v>
      </c>
      <c r="P63" t="s">
        <v>182</v>
      </c>
      <c r="Q63" t="s">
        <v>182</v>
      </c>
      <c r="R63" t="s">
        <v>251</v>
      </c>
      <c r="S63" t="s">
        <v>182</v>
      </c>
      <c r="T63" t="s">
        <v>182</v>
      </c>
      <c r="U63" t="s">
        <v>182</v>
      </c>
      <c r="V63" t="s">
        <v>183</v>
      </c>
      <c r="W63" t="s">
        <v>355</v>
      </c>
      <c r="X63" t="s">
        <v>182</v>
      </c>
      <c r="Y63" t="s">
        <v>182</v>
      </c>
      <c r="Z63" t="s">
        <v>182</v>
      </c>
      <c r="AA63" t="s">
        <v>184</v>
      </c>
      <c r="AB63" t="s">
        <v>184</v>
      </c>
      <c r="AC63" t="s">
        <v>182</v>
      </c>
      <c r="AD63" t="s">
        <v>182</v>
      </c>
      <c r="AE63" t="s">
        <v>182</v>
      </c>
    </row>
    <row r="64" spans="1:31" x14ac:dyDescent="0.25">
      <c r="A64" t="s">
        <v>154</v>
      </c>
      <c r="B64">
        <v>0</v>
      </c>
      <c r="C64" t="s">
        <v>6</v>
      </c>
      <c r="D64" t="s">
        <v>16</v>
      </c>
      <c r="E64" t="s">
        <v>16</v>
      </c>
      <c r="F64" t="s">
        <v>250</v>
      </c>
      <c r="G64" t="s">
        <v>182</v>
      </c>
      <c r="H64" t="s">
        <v>164</v>
      </c>
      <c r="I64" t="s">
        <v>182</v>
      </c>
      <c r="J64" t="s">
        <v>182</v>
      </c>
      <c r="K64" t="s">
        <v>182</v>
      </c>
      <c r="L64" t="s">
        <v>182</v>
      </c>
      <c r="M64" t="s">
        <v>182</v>
      </c>
      <c r="N64" t="s">
        <v>182</v>
      </c>
      <c r="O64" t="s">
        <v>182</v>
      </c>
      <c r="P64" t="s">
        <v>182</v>
      </c>
      <c r="Q64" t="s">
        <v>182</v>
      </c>
      <c r="R64" t="s">
        <v>182</v>
      </c>
      <c r="S64" t="s">
        <v>182</v>
      </c>
      <c r="T64" t="s">
        <v>182</v>
      </c>
      <c r="U64" t="s">
        <v>182</v>
      </c>
      <c r="V64" t="s">
        <v>182</v>
      </c>
      <c r="W64" t="s">
        <v>182</v>
      </c>
      <c r="X64" t="s">
        <v>182</v>
      </c>
      <c r="Y64" t="s">
        <v>182</v>
      </c>
      <c r="Z64" t="s">
        <v>182</v>
      </c>
      <c r="AA64" t="s">
        <v>182</v>
      </c>
      <c r="AB64" t="s">
        <v>182</v>
      </c>
      <c r="AC64" t="s">
        <v>182</v>
      </c>
      <c r="AD64" t="s">
        <v>182</v>
      </c>
      <c r="AE64" t="s">
        <v>182</v>
      </c>
    </row>
    <row r="65" spans="1:31" x14ac:dyDescent="0.25">
      <c r="A65" t="s">
        <v>93</v>
      </c>
      <c r="B65">
        <v>0</v>
      </c>
      <c r="C65" t="s">
        <v>6</v>
      </c>
      <c r="D65" t="s">
        <v>20</v>
      </c>
      <c r="E65" t="s">
        <v>20</v>
      </c>
      <c r="F65" t="s">
        <v>251</v>
      </c>
      <c r="G65" t="s">
        <v>182</v>
      </c>
      <c r="H65" t="s">
        <v>164</v>
      </c>
      <c r="I65" t="s">
        <v>182</v>
      </c>
      <c r="J65" t="s">
        <v>182</v>
      </c>
      <c r="K65" t="s">
        <v>182</v>
      </c>
      <c r="L65" t="s">
        <v>182</v>
      </c>
      <c r="M65" t="s">
        <v>182</v>
      </c>
      <c r="N65" t="s">
        <v>182</v>
      </c>
      <c r="O65" t="s">
        <v>182</v>
      </c>
      <c r="P65" t="s">
        <v>182</v>
      </c>
      <c r="Q65" t="s">
        <v>182</v>
      </c>
      <c r="R65" t="s">
        <v>355</v>
      </c>
      <c r="S65" t="s">
        <v>182</v>
      </c>
      <c r="T65" t="s">
        <v>182</v>
      </c>
      <c r="U65" t="s">
        <v>182</v>
      </c>
      <c r="V65" t="s">
        <v>182</v>
      </c>
      <c r="W65" t="s">
        <v>182</v>
      </c>
      <c r="X65" t="s">
        <v>182</v>
      </c>
      <c r="Y65" t="s">
        <v>182</v>
      </c>
      <c r="Z65" t="s">
        <v>182</v>
      </c>
      <c r="AA65" t="s">
        <v>386</v>
      </c>
      <c r="AB65" t="s">
        <v>182</v>
      </c>
      <c r="AC65" t="s">
        <v>182</v>
      </c>
      <c r="AD65" t="s">
        <v>182</v>
      </c>
      <c r="AE65" t="s">
        <v>182</v>
      </c>
    </row>
    <row r="66" spans="1:31" x14ac:dyDescent="0.25">
      <c r="A66" t="s">
        <v>108</v>
      </c>
      <c r="B66">
        <v>1500</v>
      </c>
      <c r="C66" t="s">
        <v>16</v>
      </c>
      <c r="D66" t="s">
        <v>16</v>
      </c>
      <c r="E66" t="s">
        <v>16</v>
      </c>
      <c r="F66" t="s">
        <v>252</v>
      </c>
      <c r="G66" t="s">
        <v>182</v>
      </c>
      <c r="H66" t="s">
        <v>164</v>
      </c>
      <c r="I66" t="s">
        <v>182</v>
      </c>
      <c r="J66" t="s">
        <v>182</v>
      </c>
      <c r="K66" t="s">
        <v>182</v>
      </c>
      <c r="L66" t="s">
        <v>182</v>
      </c>
      <c r="M66" t="s">
        <v>183</v>
      </c>
      <c r="N66" t="s">
        <v>182</v>
      </c>
      <c r="O66" t="s">
        <v>182</v>
      </c>
      <c r="P66" t="s">
        <v>182</v>
      </c>
      <c r="Q66" t="s">
        <v>182</v>
      </c>
      <c r="R66" t="s">
        <v>291</v>
      </c>
      <c r="S66" t="s">
        <v>182</v>
      </c>
      <c r="T66" t="s">
        <v>182</v>
      </c>
      <c r="U66" t="s">
        <v>182</v>
      </c>
      <c r="V66" t="s">
        <v>183</v>
      </c>
      <c r="W66" t="s">
        <v>182</v>
      </c>
      <c r="X66" t="s">
        <v>183</v>
      </c>
      <c r="Y66" t="s">
        <v>182</v>
      </c>
      <c r="Z66" t="s">
        <v>182</v>
      </c>
      <c r="AA66" t="s">
        <v>256</v>
      </c>
      <c r="AB66" t="s">
        <v>182</v>
      </c>
      <c r="AC66" t="s">
        <v>182</v>
      </c>
      <c r="AD66" t="s">
        <v>251</v>
      </c>
      <c r="AE66" t="s">
        <v>182</v>
      </c>
    </row>
    <row r="67" spans="1:31" x14ac:dyDescent="0.25">
      <c r="A67" t="s">
        <v>141</v>
      </c>
      <c r="B67">
        <v>1</v>
      </c>
      <c r="C67" t="s">
        <v>6</v>
      </c>
      <c r="D67" t="s">
        <v>21</v>
      </c>
      <c r="E67" t="s">
        <v>28</v>
      </c>
      <c r="F67" t="s">
        <v>253</v>
      </c>
      <c r="G67" t="s">
        <v>182</v>
      </c>
      <c r="H67" t="s">
        <v>20</v>
      </c>
      <c r="I67" t="s">
        <v>183</v>
      </c>
      <c r="J67" t="s">
        <v>183</v>
      </c>
      <c r="K67" t="s">
        <v>182</v>
      </c>
      <c r="L67" t="s">
        <v>182</v>
      </c>
      <c r="M67" t="s">
        <v>182</v>
      </c>
      <c r="N67" t="s">
        <v>182</v>
      </c>
      <c r="O67" t="s">
        <v>182</v>
      </c>
      <c r="P67" t="s">
        <v>182</v>
      </c>
      <c r="Q67" t="s">
        <v>182</v>
      </c>
      <c r="R67" t="s">
        <v>251</v>
      </c>
      <c r="S67" t="s">
        <v>182</v>
      </c>
      <c r="T67" t="s">
        <v>182</v>
      </c>
      <c r="U67" t="s">
        <v>182</v>
      </c>
      <c r="V67" t="s">
        <v>183</v>
      </c>
      <c r="W67" t="s">
        <v>355</v>
      </c>
      <c r="X67" t="s">
        <v>182</v>
      </c>
      <c r="Y67" t="s">
        <v>182</v>
      </c>
      <c r="Z67" t="s">
        <v>182</v>
      </c>
      <c r="AA67" t="s">
        <v>357</v>
      </c>
      <c r="AB67" t="s">
        <v>182</v>
      </c>
      <c r="AC67" t="s">
        <v>182</v>
      </c>
      <c r="AD67" t="s">
        <v>182</v>
      </c>
      <c r="AE67" t="s">
        <v>182</v>
      </c>
    </row>
    <row r="68" spans="1:31" x14ac:dyDescent="0.25">
      <c r="A68" t="s">
        <v>133</v>
      </c>
      <c r="B68">
        <v>1</v>
      </c>
      <c r="C68" t="s">
        <v>6</v>
      </c>
      <c r="D68" t="s">
        <v>21</v>
      </c>
      <c r="E68" t="s">
        <v>28</v>
      </c>
      <c r="F68" t="s">
        <v>254</v>
      </c>
      <c r="G68" t="s">
        <v>182</v>
      </c>
      <c r="H68" t="s">
        <v>20</v>
      </c>
      <c r="I68" t="s">
        <v>183</v>
      </c>
      <c r="J68" t="s">
        <v>183</v>
      </c>
      <c r="K68" t="s">
        <v>182</v>
      </c>
      <c r="L68" t="s">
        <v>182</v>
      </c>
      <c r="M68" t="s">
        <v>182</v>
      </c>
      <c r="N68" t="s">
        <v>182</v>
      </c>
      <c r="O68" t="s">
        <v>182</v>
      </c>
      <c r="P68" t="s">
        <v>182</v>
      </c>
      <c r="Q68" t="s">
        <v>182</v>
      </c>
      <c r="R68" t="s">
        <v>251</v>
      </c>
      <c r="S68" t="s">
        <v>182</v>
      </c>
      <c r="T68" t="s">
        <v>182</v>
      </c>
      <c r="U68" t="s">
        <v>182</v>
      </c>
      <c r="V68" t="s">
        <v>183</v>
      </c>
      <c r="W68" t="s">
        <v>355</v>
      </c>
      <c r="X68" t="s">
        <v>182</v>
      </c>
      <c r="Y68" t="s">
        <v>182</v>
      </c>
      <c r="Z68" t="s">
        <v>182</v>
      </c>
      <c r="AA68" t="s">
        <v>186</v>
      </c>
      <c r="AB68" t="s">
        <v>182</v>
      </c>
      <c r="AC68" t="s">
        <v>182</v>
      </c>
      <c r="AD68" t="s">
        <v>182</v>
      </c>
      <c r="AE68" t="s">
        <v>182</v>
      </c>
    </row>
    <row r="69" spans="1:31" x14ac:dyDescent="0.25">
      <c r="A69" t="s">
        <v>120</v>
      </c>
      <c r="B69">
        <v>0</v>
      </c>
      <c r="C69" t="s">
        <v>6</v>
      </c>
      <c r="D69" t="s">
        <v>20</v>
      </c>
      <c r="E69" t="s">
        <v>20</v>
      </c>
      <c r="F69" t="s">
        <v>255</v>
      </c>
      <c r="G69" t="s">
        <v>182</v>
      </c>
      <c r="H69" t="s">
        <v>20</v>
      </c>
      <c r="I69" t="s">
        <v>256</v>
      </c>
      <c r="J69" t="s">
        <v>256</v>
      </c>
      <c r="K69" t="s">
        <v>182</v>
      </c>
      <c r="L69" t="s">
        <v>182</v>
      </c>
      <c r="M69" t="s">
        <v>182</v>
      </c>
      <c r="N69" t="s">
        <v>182</v>
      </c>
      <c r="O69" t="s">
        <v>182</v>
      </c>
      <c r="P69" t="s">
        <v>182</v>
      </c>
      <c r="Q69" t="s">
        <v>182</v>
      </c>
      <c r="R69" t="s">
        <v>251</v>
      </c>
      <c r="S69" t="s">
        <v>182</v>
      </c>
      <c r="T69" t="s">
        <v>182</v>
      </c>
      <c r="U69" t="s">
        <v>182</v>
      </c>
      <c r="V69" t="s">
        <v>182</v>
      </c>
      <c r="W69" t="s">
        <v>182</v>
      </c>
      <c r="X69" t="s">
        <v>182</v>
      </c>
      <c r="Y69" t="s">
        <v>182</v>
      </c>
      <c r="Z69" t="s">
        <v>182</v>
      </c>
      <c r="AA69" t="s">
        <v>256</v>
      </c>
      <c r="AB69" t="s">
        <v>182</v>
      </c>
      <c r="AC69" t="s">
        <v>182</v>
      </c>
      <c r="AD69" t="s">
        <v>182</v>
      </c>
      <c r="AE69" t="s">
        <v>182</v>
      </c>
    </row>
    <row r="70" spans="1:31" x14ac:dyDescent="0.25">
      <c r="A70" t="s">
        <v>48</v>
      </c>
      <c r="B70">
        <v>500</v>
      </c>
      <c r="C70" t="s">
        <v>7</v>
      </c>
      <c r="D70" t="s">
        <v>21</v>
      </c>
      <c r="E70" t="s">
        <v>34</v>
      </c>
      <c r="F70" t="s">
        <v>257</v>
      </c>
      <c r="G70" t="s">
        <v>182</v>
      </c>
      <c r="H70" t="s">
        <v>244</v>
      </c>
      <c r="I70" t="s">
        <v>258</v>
      </c>
      <c r="J70" t="s">
        <v>259</v>
      </c>
      <c r="K70" t="s">
        <v>182</v>
      </c>
      <c r="L70" t="s">
        <v>182</v>
      </c>
      <c r="M70" t="s">
        <v>182</v>
      </c>
      <c r="N70" t="s">
        <v>183</v>
      </c>
      <c r="O70" t="s">
        <v>182</v>
      </c>
      <c r="P70" t="s">
        <v>182</v>
      </c>
      <c r="Q70" t="s">
        <v>182</v>
      </c>
      <c r="R70" t="s">
        <v>182</v>
      </c>
      <c r="S70" t="s">
        <v>182</v>
      </c>
      <c r="T70" t="s">
        <v>182</v>
      </c>
      <c r="U70" t="s">
        <v>182</v>
      </c>
      <c r="V70" t="s">
        <v>183</v>
      </c>
      <c r="W70" t="s">
        <v>182</v>
      </c>
      <c r="X70" t="s">
        <v>182</v>
      </c>
      <c r="Y70" t="s">
        <v>182</v>
      </c>
      <c r="Z70" t="s">
        <v>182</v>
      </c>
      <c r="AA70" t="s">
        <v>183</v>
      </c>
      <c r="AB70" t="s">
        <v>182</v>
      </c>
      <c r="AC70" t="s">
        <v>182</v>
      </c>
      <c r="AD70" t="s">
        <v>182</v>
      </c>
      <c r="AE70" t="s">
        <v>182</v>
      </c>
    </row>
    <row r="71" spans="1:31" x14ac:dyDescent="0.25">
      <c r="A71" t="s">
        <v>100</v>
      </c>
      <c r="B71">
        <v>500</v>
      </c>
      <c r="C71" t="s">
        <v>7</v>
      </c>
      <c r="D71" t="s">
        <v>21</v>
      </c>
      <c r="E71" t="s">
        <v>34</v>
      </c>
      <c r="F71" t="s">
        <v>260</v>
      </c>
      <c r="G71" t="s">
        <v>182</v>
      </c>
      <c r="H71" t="s">
        <v>244</v>
      </c>
      <c r="I71" t="s">
        <v>258</v>
      </c>
      <c r="J71" t="s">
        <v>259</v>
      </c>
      <c r="K71" t="s">
        <v>182</v>
      </c>
      <c r="L71" t="s">
        <v>182</v>
      </c>
      <c r="M71" t="s">
        <v>182</v>
      </c>
      <c r="N71" t="s">
        <v>183</v>
      </c>
      <c r="O71" t="s">
        <v>182</v>
      </c>
      <c r="P71" t="s">
        <v>182</v>
      </c>
      <c r="Q71" t="s">
        <v>182</v>
      </c>
      <c r="R71" t="s">
        <v>182</v>
      </c>
      <c r="S71" t="s">
        <v>182</v>
      </c>
      <c r="T71" t="s">
        <v>182</v>
      </c>
      <c r="U71" t="s">
        <v>182</v>
      </c>
      <c r="V71" t="s">
        <v>183</v>
      </c>
      <c r="W71" t="s">
        <v>182</v>
      </c>
      <c r="X71" t="s">
        <v>182</v>
      </c>
      <c r="Y71" t="s">
        <v>182</v>
      </c>
      <c r="Z71" t="s">
        <v>182</v>
      </c>
      <c r="AA71" t="s">
        <v>183</v>
      </c>
      <c r="AB71" t="s">
        <v>182</v>
      </c>
      <c r="AC71" t="s">
        <v>182</v>
      </c>
      <c r="AD71" t="s">
        <v>182</v>
      </c>
      <c r="AE71" t="s">
        <v>182</v>
      </c>
    </row>
    <row r="72" spans="1:31" x14ac:dyDescent="0.25">
      <c r="A72" t="s">
        <v>126</v>
      </c>
      <c r="B72">
        <v>400</v>
      </c>
      <c r="C72" t="s">
        <v>7</v>
      </c>
      <c r="D72" t="s">
        <v>21</v>
      </c>
      <c r="E72" t="s">
        <v>34</v>
      </c>
      <c r="F72" t="s">
        <v>261</v>
      </c>
      <c r="G72" t="s">
        <v>182</v>
      </c>
      <c r="H72" t="s">
        <v>244</v>
      </c>
      <c r="I72" t="s">
        <v>251</v>
      </c>
      <c r="J72" t="s">
        <v>262</v>
      </c>
      <c r="K72" t="s">
        <v>182</v>
      </c>
      <c r="L72" t="s">
        <v>182</v>
      </c>
      <c r="M72" t="s">
        <v>182</v>
      </c>
      <c r="N72" t="s">
        <v>183</v>
      </c>
      <c r="O72" t="s">
        <v>182</v>
      </c>
      <c r="P72" t="s">
        <v>182</v>
      </c>
      <c r="Q72" t="s">
        <v>182</v>
      </c>
      <c r="R72" t="s">
        <v>182</v>
      </c>
      <c r="S72" t="s">
        <v>182</v>
      </c>
      <c r="T72" t="s">
        <v>182</v>
      </c>
      <c r="U72" t="s">
        <v>182</v>
      </c>
      <c r="V72" t="s">
        <v>183</v>
      </c>
      <c r="W72" t="s">
        <v>182</v>
      </c>
      <c r="X72" t="s">
        <v>182</v>
      </c>
      <c r="Y72" t="s">
        <v>182</v>
      </c>
      <c r="Z72" t="s">
        <v>182</v>
      </c>
      <c r="AA72" t="s">
        <v>183</v>
      </c>
      <c r="AB72" t="s">
        <v>182</v>
      </c>
      <c r="AC72" t="s">
        <v>182</v>
      </c>
      <c r="AD72" t="s">
        <v>182</v>
      </c>
      <c r="AE72" t="s">
        <v>182</v>
      </c>
    </row>
    <row r="73" spans="1:31" x14ac:dyDescent="0.25">
      <c r="A73" t="s">
        <v>50</v>
      </c>
      <c r="B73">
        <v>205</v>
      </c>
      <c r="C73" t="s">
        <v>6</v>
      </c>
      <c r="D73" t="s">
        <v>20</v>
      </c>
      <c r="E73" t="s">
        <v>20</v>
      </c>
      <c r="F73" t="s">
        <v>263</v>
      </c>
      <c r="G73" t="s">
        <v>182</v>
      </c>
      <c r="H73" t="s">
        <v>20</v>
      </c>
      <c r="I73" t="s">
        <v>258</v>
      </c>
      <c r="J73" t="s">
        <v>202</v>
      </c>
      <c r="K73" t="s">
        <v>182</v>
      </c>
      <c r="L73" t="s">
        <v>182</v>
      </c>
      <c r="M73" t="s">
        <v>182</v>
      </c>
      <c r="N73" t="s">
        <v>182</v>
      </c>
      <c r="O73" t="s">
        <v>182</v>
      </c>
      <c r="P73" t="s">
        <v>182</v>
      </c>
      <c r="Q73" t="s">
        <v>182</v>
      </c>
      <c r="R73" t="s">
        <v>251</v>
      </c>
      <c r="S73" t="s">
        <v>182</v>
      </c>
      <c r="T73" t="s">
        <v>182</v>
      </c>
      <c r="U73" t="s">
        <v>182</v>
      </c>
      <c r="V73" t="s">
        <v>182</v>
      </c>
      <c r="W73" t="s">
        <v>182</v>
      </c>
      <c r="X73" t="s">
        <v>182</v>
      </c>
      <c r="Y73" t="s">
        <v>182</v>
      </c>
      <c r="Z73" t="s">
        <v>182</v>
      </c>
      <c r="AA73" t="s">
        <v>256</v>
      </c>
      <c r="AB73" t="s">
        <v>182</v>
      </c>
      <c r="AC73" t="s">
        <v>182</v>
      </c>
      <c r="AD73" t="s">
        <v>182</v>
      </c>
      <c r="AE73" t="s">
        <v>182</v>
      </c>
    </row>
    <row r="74" spans="1:31" x14ac:dyDescent="0.25">
      <c r="A74" t="s">
        <v>173</v>
      </c>
      <c r="B74">
        <v>45</v>
      </c>
      <c r="C74" t="s">
        <v>6</v>
      </c>
      <c r="D74" t="s">
        <v>20</v>
      </c>
      <c r="E74" t="s">
        <v>20</v>
      </c>
      <c r="F74" t="s">
        <v>264</v>
      </c>
      <c r="G74" t="s">
        <v>182</v>
      </c>
      <c r="H74" t="s">
        <v>20</v>
      </c>
      <c r="I74" t="s">
        <v>265</v>
      </c>
      <c r="J74" t="s">
        <v>266</v>
      </c>
      <c r="K74" t="s">
        <v>182</v>
      </c>
      <c r="L74" t="s">
        <v>182</v>
      </c>
      <c r="M74" t="s">
        <v>182</v>
      </c>
      <c r="N74" t="s">
        <v>182</v>
      </c>
      <c r="O74" t="s">
        <v>182</v>
      </c>
      <c r="P74" t="s">
        <v>182</v>
      </c>
      <c r="Q74" t="s">
        <v>182</v>
      </c>
      <c r="R74" t="s">
        <v>291</v>
      </c>
      <c r="S74" t="s">
        <v>182</v>
      </c>
      <c r="T74" t="s">
        <v>182</v>
      </c>
      <c r="U74" t="s">
        <v>182</v>
      </c>
      <c r="V74" t="s">
        <v>182</v>
      </c>
      <c r="W74" t="s">
        <v>182</v>
      </c>
      <c r="X74" t="s">
        <v>182</v>
      </c>
      <c r="Y74" t="s">
        <v>182</v>
      </c>
      <c r="Z74" t="s">
        <v>182</v>
      </c>
      <c r="AA74" t="s">
        <v>186</v>
      </c>
      <c r="AB74" t="s">
        <v>182</v>
      </c>
      <c r="AC74" t="s">
        <v>182</v>
      </c>
      <c r="AD74" t="s">
        <v>182</v>
      </c>
      <c r="AE74" t="s">
        <v>182</v>
      </c>
    </row>
    <row r="75" spans="1:31" x14ac:dyDescent="0.25">
      <c r="A75" t="s">
        <v>57</v>
      </c>
      <c r="B75">
        <v>15</v>
      </c>
      <c r="C75" t="s">
        <v>6</v>
      </c>
      <c r="D75" t="s">
        <v>20</v>
      </c>
      <c r="E75" t="s">
        <v>20</v>
      </c>
      <c r="F75" t="s">
        <v>267</v>
      </c>
      <c r="G75" t="s">
        <v>182</v>
      </c>
      <c r="H75" t="s">
        <v>164</v>
      </c>
      <c r="I75" t="s">
        <v>245</v>
      </c>
      <c r="J75" t="s">
        <v>246</v>
      </c>
      <c r="K75" t="s">
        <v>182</v>
      </c>
      <c r="L75" t="s">
        <v>182</v>
      </c>
      <c r="M75" t="s">
        <v>182</v>
      </c>
      <c r="N75" t="s">
        <v>182</v>
      </c>
      <c r="O75" t="s">
        <v>182</v>
      </c>
      <c r="P75" t="s">
        <v>182</v>
      </c>
      <c r="Q75" t="s">
        <v>182</v>
      </c>
      <c r="R75" t="s">
        <v>291</v>
      </c>
      <c r="S75" t="s">
        <v>182</v>
      </c>
      <c r="T75" t="s">
        <v>182</v>
      </c>
      <c r="U75" t="s">
        <v>182</v>
      </c>
      <c r="V75" t="s">
        <v>182</v>
      </c>
      <c r="W75" t="s">
        <v>182</v>
      </c>
      <c r="X75" t="s">
        <v>182</v>
      </c>
      <c r="Y75" t="s">
        <v>182</v>
      </c>
      <c r="Z75" t="s">
        <v>182</v>
      </c>
      <c r="AA75" t="s">
        <v>185</v>
      </c>
      <c r="AB75" t="s">
        <v>182</v>
      </c>
      <c r="AC75" t="s">
        <v>182</v>
      </c>
      <c r="AD75" t="s">
        <v>182</v>
      </c>
      <c r="AE75" t="s">
        <v>182</v>
      </c>
    </row>
    <row r="76" spans="1:31" x14ac:dyDescent="0.25">
      <c r="A76" t="s">
        <v>56</v>
      </c>
      <c r="B76">
        <v>0</v>
      </c>
      <c r="C76" t="s">
        <v>6</v>
      </c>
      <c r="D76" t="s">
        <v>20</v>
      </c>
      <c r="E76" t="s">
        <v>20</v>
      </c>
      <c r="F76" t="s">
        <v>268</v>
      </c>
      <c r="G76" t="s">
        <v>182</v>
      </c>
      <c r="H76" t="s">
        <v>164</v>
      </c>
      <c r="I76" t="s">
        <v>182</v>
      </c>
      <c r="J76" t="s">
        <v>182</v>
      </c>
      <c r="K76" t="s">
        <v>182</v>
      </c>
      <c r="L76" t="s">
        <v>182</v>
      </c>
      <c r="M76" t="s">
        <v>182</v>
      </c>
      <c r="N76" t="s">
        <v>182</v>
      </c>
      <c r="O76" t="s">
        <v>182</v>
      </c>
      <c r="P76" t="s">
        <v>182</v>
      </c>
      <c r="Q76" t="s">
        <v>182</v>
      </c>
      <c r="R76" t="s">
        <v>355</v>
      </c>
      <c r="S76" t="s">
        <v>182</v>
      </c>
      <c r="T76" t="s">
        <v>182</v>
      </c>
      <c r="U76" t="s">
        <v>182</v>
      </c>
      <c r="V76" t="s">
        <v>182</v>
      </c>
      <c r="W76" t="s">
        <v>182</v>
      </c>
      <c r="X76" t="s">
        <v>182</v>
      </c>
      <c r="Y76" t="s">
        <v>182</v>
      </c>
      <c r="Z76" t="s">
        <v>182</v>
      </c>
      <c r="AA76" t="s">
        <v>182</v>
      </c>
      <c r="AB76" t="s">
        <v>182</v>
      </c>
      <c r="AC76" t="s">
        <v>182</v>
      </c>
      <c r="AD76" t="s">
        <v>182</v>
      </c>
      <c r="AE76" t="s">
        <v>182</v>
      </c>
    </row>
    <row r="77" spans="1:31" x14ac:dyDescent="0.25">
      <c r="A77" t="s">
        <v>43</v>
      </c>
      <c r="B77">
        <v>0</v>
      </c>
      <c r="C77" t="s">
        <v>6</v>
      </c>
      <c r="D77" t="s">
        <v>20</v>
      </c>
      <c r="E77" t="s">
        <v>20</v>
      </c>
      <c r="F77" t="s">
        <v>269</v>
      </c>
      <c r="G77" t="s">
        <v>182</v>
      </c>
      <c r="H77" t="s">
        <v>164</v>
      </c>
      <c r="I77" t="s">
        <v>182</v>
      </c>
      <c r="J77" t="s">
        <v>182</v>
      </c>
      <c r="K77" t="s">
        <v>182</v>
      </c>
      <c r="L77" t="s">
        <v>182</v>
      </c>
      <c r="M77" t="s">
        <v>182</v>
      </c>
      <c r="N77" t="s">
        <v>182</v>
      </c>
      <c r="O77" t="s">
        <v>182</v>
      </c>
      <c r="P77" t="s">
        <v>182</v>
      </c>
      <c r="Q77" t="s">
        <v>182</v>
      </c>
      <c r="R77" t="s">
        <v>355</v>
      </c>
      <c r="S77" t="s">
        <v>182</v>
      </c>
      <c r="T77" t="s">
        <v>182</v>
      </c>
      <c r="U77" t="s">
        <v>182</v>
      </c>
      <c r="V77" t="s">
        <v>182</v>
      </c>
      <c r="W77" t="s">
        <v>182</v>
      </c>
      <c r="X77" t="s">
        <v>182</v>
      </c>
      <c r="Y77" t="s">
        <v>182</v>
      </c>
      <c r="Z77" t="s">
        <v>182</v>
      </c>
      <c r="AA77" t="s">
        <v>182</v>
      </c>
      <c r="AB77" t="s">
        <v>182</v>
      </c>
      <c r="AC77" t="s">
        <v>182</v>
      </c>
      <c r="AD77" t="s">
        <v>182</v>
      </c>
      <c r="AE77" t="s">
        <v>182</v>
      </c>
    </row>
    <row r="78" spans="1:31" x14ac:dyDescent="0.25">
      <c r="A78" t="s">
        <v>81</v>
      </c>
      <c r="B78">
        <v>0</v>
      </c>
      <c r="C78" t="s">
        <v>6</v>
      </c>
      <c r="D78" t="s">
        <v>20</v>
      </c>
      <c r="E78" t="s">
        <v>20</v>
      </c>
      <c r="F78" t="s">
        <v>270</v>
      </c>
      <c r="G78" t="s">
        <v>182</v>
      </c>
      <c r="H78" t="s">
        <v>164</v>
      </c>
      <c r="I78" t="s">
        <v>182</v>
      </c>
      <c r="J78" t="s">
        <v>182</v>
      </c>
      <c r="K78" t="s">
        <v>182</v>
      </c>
      <c r="L78" t="s">
        <v>182</v>
      </c>
      <c r="M78" t="s">
        <v>182</v>
      </c>
      <c r="N78" t="s">
        <v>182</v>
      </c>
      <c r="O78" t="s">
        <v>182</v>
      </c>
      <c r="P78" t="s">
        <v>182</v>
      </c>
      <c r="Q78" t="s">
        <v>182</v>
      </c>
      <c r="R78" t="s">
        <v>355</v>
      </c>
      <c r="S78" t="s">
        <v>182</v>
      </c>
      <c r="T78" t="s">
        <v>182</v>
      </c>
      <c r="U78" t="s">
        <v>182</v>
      </c>
      <c r="V78" t="s">
        <v>182</v>
      </c>
      <c r="W78" t="s">
        <v>182</v>
      </c>
      <c r="X78" t="s">
        <v>182</v>
      </c>
      <c r="Y78" t="s">
        <v>182</v>
      </c>
      <c r="Z78" t="s">
        <v>182</v>
      </c>
      <c r="AA78" t="s">
        <v>182</v>
      </c>
      <c r="AB78" t="s">
        <v>182</v>
      </c>
      <c r="AC78" t="s">
        <v>182</v>
      </c>
      <c r="AD78" t="s">
        <v>182</v>
      </c>
      <c r="AE78" t="s">
        <v>182</v>
      </c>
    </row>
    <row r="79" spans="1:31" x14ac:dyDescent="0.25">
      <c r="A79" t="s">
        <v>165</v>
      </c>
      <c r="B79">
        <v>700</v>
      </c>
      <c r="C79" t="s">
        <v>7</v>
      </c>
      <c r="D79" t="s">
        <v>21</v>
      </c>
      <c r="E79" t="s">
        <v>28</v>
      </c>
      <c r="F79" t="s">
        <v>271</v>
      </c>
      <c r="G79" t="s">
        <v>182</v>
      </c>
      <c r="H79" t="s">
        <v>164</v>
      </c>
      <c r="I79" t="s">
        <v>182</v>
      </c>
      <c r="J79" t="s">
        <v>182</v>
      </c>
      <c r="K79" t="s">
        <v>182</v>
      </c>
      <c r="L79" t="s">
        <v>182</v>
      </c>
      <c r="M79" t="s">
        <v>182</v>
      </c>
      <c r="N79" t="s">
        <v>182</v>
      </c>
      <c r="O79" t="s">
        <v>183</v>
      </c>
      <c r="P79" t="s">
        <v>182</v>
      </c>
      <c r="Q79" t="s">
        <v>182</v>
      </c>
      <c r="R79" t="s">
        <v>182</v>
      </c>
      <c r="S79" t="s">
        <v>182</v>
      </c>
      <c r="T79" t="s">
        <v>182</v>
      </c>
      <c r="U79" t="s">
        <v>182</v>
      </c>
      <c r="V79" t="s">
        <v>183</v>
      </c>
      <c r="W79" t="s">
        <v>182</v>
      </c>
      <c r="X79" t="s">
        <v>182</v>
      </c>
      <c r="Y79" t="s">
        <v>182</v>
      </c>
      <c r="Z79" t="s">
        <v>182</v>
      </c>
      <c r="AA79" t="s">
        <v>382</v>
      </c>
      <c r="AB79" t="s">
        <v>182</v>
      </c>
      <c r="AC79" t="s">
        <v>182</v>
      </c>
      <c r="AD79" t="s">
        <v>182</v>
      </c>
      <c r="AE79" t="s">
        <v>272</v>
      </c>
    </row>
    <row r="80" spans="1:31" x14ac:dyDescent="0.25">
      <c r="A80" t="s">
        <v>134</v>
      </c>
      <c r="B80">
        <v>700</v>
      </c>
      <c r="C80" t="s">
        <v>7</v>
      </c>
      <c r="D80" t="s">
        <v>21</v>
      </c>
      <c r="E80" t="s">
        <v>28</v>
      </c>
      <c r="F80" t="s">
        <v>272</v>
      </c>
      <c r="G80" t="s">
        <v>182</v>
      </c>
      <c r="H80" t="s">
        <v>164</v>
      </c>
      <c r="I80" t="s">
        <v>182</v>
      </c>
      <c r="J80" t="s">
        <v>182</v>
      </c>
      <c r="K80" t="s">
        <v>182</v>
      </c>
      <c r="L80" t="s">
        <v>182</v>
      </c>
      <c r="M80" t="s">
        <v>182</v>
      </c>
      <c r="N80" t="s">
        <v>182</v>
      </c>
      <c r="O80" t="s">
        <v>183</v>
      </c>
      <c r="P80" t="s">
        <v>182</v>
      </c>
      <c r="Q80" t="s">
        <v>182</v>
      </c>
      <c r="R80" t="s">
        <v>182</v>
      </c>
      <c r="S80" t="s">
        <v>182</v>
      </c>
      <c r="T80" t="s">
        <v>182</v>
      </c>
      <c r="U80" t="s">
        <v>182</v>
      </c>
      <c r="V80" t="s">
        <v>183</v>
      </c>
      <c r="W80" t="s">
        <v>182</v>
      </c>
      <c r="X80" t="s">
        <v>182</v>
      </c>
      <c r="Y80" t="s">
        <v>182</v>
      </c>
      <c r="Z80" t="s">
        <v>182</v>
      </c>
      <c r="AA80" t="s">
        <v>382</v>
      </c>
      <c r="AB80" t="s">
        <v>182</v>
      </c>
      <c r="AC80" t="s">
        <v>182</v>
      </c>
      <c r="AD80" t="s">
        <v>182</v>
      </c>
      <c r="AE80" t="s">
        <v>271</v>
      </c>
    </row>
    <row r="81" spans="1:31" x14ac:dyDescent="0.25">
      <c r="A81" t="s">
        <v>78</v>
      </c>
      <c r="B81">
        <v>200</v>
      </c>
      <c r="C81" t="s">
        <v>7</v>
      </c>
      <c r="D81" t="s">
        <v>21</v>
      </c>
      <c r="E81" t="s">
        <v>28</v>
      </c>
      <c r="F81" t="s">
        <v>273</v>
      </c>
      <c r="G81" t="s">
        <v>182</v>
      </c>
      <c r="H81" t="s">
        <v>164</v>
      </c>
      <c r="I81" t="s">
        <v>182</v>
      </c>
      <c r="J81" t="s">
        <v>182</v>
      </c>
      <c r="K81" t="s">
        <v>182</v>
      </c>
      <c r="L81" t="s">
        <v>182</v>
      </c>
      <c r="M81" t="s">
        <v>182</v>
      </c>
      <c r="N81" t="s">
        <v>182</v>
      </c>
      <c r="O81" t="s">
        <v>183</v>
      </c>
      <c r="P81" t="s">
        <v>182</v>
      </c>
      <c r="Q81" t="s">
        <v>182</v>
      </c>
      <c r="R81" t="s">
        <v>182</v>
      </c>
      <c r="S81" t="s">
        <v>182</v>
      </c>
      <c r="T81" t="s">
        <v>182</v>
      </c>
      <c r="U81" t="s">
        <v>182</v>
      </c>
      <c r="V81" t="s">
        <v>183</v>
      </c>
      <c r="W81" t="s">
        <v>182</v>
      </c>
      <c r="X81" t="s">
        <v>182</v>
      </c>
      <c r="Y81" t="s">
        <v>182</v>
      </c>
      <c r="Z81" t="s">
        <v>182</v>
      </c>
      <c r="AA81" t="s">
        <v>186</v>
      </c>
      <c r="AB81" t="s">
        <v>182</v>
      </c>
      <c r="AC81" t="s">
        <v>182</v>
      </c>
      <c r="AD81" t="s">
        <v>182</v>
      </c>
      <c r="AE81" t="s">
        <v>274</v>
      </c>
    </row>
    <row r="82" spans="1:31" x14ac:dyDescent="0.25">
      <c r="A82" t="s">
        <v>146</v>
      </c>
      <c r="B82">
        <v>200</v>
      </c>
      <c r="C82" t="s">
        <v>7</v>
      </c>
      <c r="D82" t="s">
        <v>21</v>
      </c>
      <c r="E82" t="s">
        <v>28</v>
      </c>
      <c r="F82" t="s">
        <v>274</v>
      </c>
      <c r="G82" t="s">
        <v>182</v>
      </c>
      <c r="H82" t="s">
        <v>164</v>
      </c>
      <c r="I82" t="s">
        <v>182</v>
      </c>
      <c r="J82" t="s">
        <v>182</v>
      </c>
      <c r="K82" t="s">
        <v>182</v>
      </c>
      <c r="L82" t="s">
        <v>182</v>
      </c>
      <c r="M82" t="s">
        <v>182</v>
      </c>
      <c r="N82" t="s">
        <v>182</v>
      </c>
      <c r="O82" t="s">
        <v>183</v>
      </c>
      <c r="P82" t="s">
        <v>182</v>
      </c>
      <c r="Q82" t="s">
        <v>182</v>
      </c>
      <c r="R82" t="s">
        <v>182</v>
      </c>
      <c r="S82" t="s">
        <v>182</v>
      </c>
      <c r="T82" t="s">
        <v>182</v>
      </c>
      <c r="U82" t="s">
        <v>182</v>
      </c>
      <c r="V82" t="s">
        <v>183</v>
      </c>
      <c r="W82" t="s">
        <v>182</v>
      </c>
      <c r="X82" t="s">
        <v>182</v>
      </c>
      <c r="Y82" t="s">
        <v>182</v>
      </c>
      <c r="Z82" t="s">
        <v>182</v>
      </c>
      <c r="AA82" t="s">
        <v>186</v>
      </c>
      <c r="AB82" t="s">
        <v>182</v>
      </c>
      <c r="AC82" t="s">
        <v>182</v>
      </c>
      <c r="AD82" t="s">
        <v>182</v>
      </c>
      <c r="AE82" t="s">
        <v>273</v>
      </c>
    </row>
    <row r="83" spans="1:31" x14ac:dyDescent="0.25">
      <c r="A83" t="s">
        <v>143</v>
      </c>
      <c r="B83">
        <v>15</v>
      </c>
      <c r="C83" t="s">
        <v>6</v>
      </c>
      <c r="D83" t="s">
        <v>20</v>
      </c>
      <c r="E83" t="s">
        <v>20</v>
      </c>
      <c r="F83" t="s">
        <v>275</v>
      </c>
      <c r="G83" t="s">
        <v>182</v>
      </c>
      <c r="H83" t="s">
        <v>20</v>
      </c>
      <c r="I83" t="s">
        <v>246</v>
      </c>
      <c r="J83" t="s">
        <v>266</v>
      </c>
      <c r="K83" t="s">
        <v>182</v>
      </c>
      <c r="L83" t="s">
        <v>182</v>
      </c>
      <c r="M83" t="s">
        <v>182</v>
      </c>
      <c r="N83" t="s">
        <v>182</v>
      </c>
      <c r="O83" t="s">
        <v>182</v>
      </c>
      <c r="P83" t="s">
        <v>182</v>
      </c>
      <c r="Q83" t="s">
        <v>182</v>
      </c>
      <c r="R83" t="s">
        <v>182</v>
      </c>
      <c r="S83" t="s">
        <v>182</v>
      </c>
      <c r="T83" t="s">
        <v>182</v>
      </c>
      <c r="U83" t="s">
        <v>182</v>
      </c>
      <c r="V83" t="s">
        <v>182</v>
      </c>
      <c r="W83" t="s">
        <v>182</v>
      </c>
      <c r="X83" t="s">
        <v>182</v>
      </c>
      <c r="Y83" t="s">
        <v>182</v>
      </c>
      <c r="Z83" t="s">
        <v>182</v>
      </c>
      <c r="AA83" t="s">
        <v>184</v>
      </c>
      <c r="AB83" t="s">
        <v>182</v>
      </c>
      <c r="AC83" t="s">
        <v>182</v>
      </c>
      <c r="AD83" t="s">
        <v>182</v>
      </c>
      <c r="AE83" t="s">
        <v>182</v>
      </c>
    </row>
    <row r="84" spans="1:31" x14ac:dyDescent="0.25">
      <c r="A84" t="s">
        <v>116</v>
      </c>
      <c r="B84">
        <v>15</v>
      </c>
      <c r="C84" t="s">
        <v>6</v>
      </c>
      <c r="D84" t="s">
        <v>20</v>
      </c>
      <c r="E84" t="s">
        <v>20</v>
      </c>
      <c r="F84" t="s">
        <v>276</v>
      </c>
      <c r="G84" t="s">
        <v>182</v>
      </c>
      <c r="H84" t="s">
        <v>20</v>
      </c>
      <c r="I84" t="s">
        <v>246</v>
      </c>
      <c r="J84" t="s">
        <v>266</v>
      </c>
      <c r="K84" t="s">
        <v>182</v>
      </c>
      <c r="L84" t="s">
        <v>182</v>
      </c>
      <c r="M84" t="s">
        <v>182</v>
      </c>
      <c r="N84" t="s">
        <v>182</v>
      </c>
      <c r="O84" t="s">
        <v>182</v>
      </c>
      <c r="P84" t="s">
        <v>182</v>
      </c>
      <c r="Q84" t="s">
        <v>182</v>
      </c>
      <c r="R84" t="s">
        <v>182</v>
      </c>
      <c r="S84" t="s">
        <v>182</v>
      </c>
      <c r="T84" t="s">
        <v>182</v>
      </c>
      <c r="U84" t="s">
        <v>182</v>
      </c>
      <c r="V84" t="s">
        <v>182</v>
      </c>
      <c r="W84" t="s">
        <v>182</v>
      </c>
      <c r="X84" t="s">
        <v>182</v>
      </c>
      <c r="Y84" t="s">
        <v>182</v>
      </c>
      <c r="Z84" t="s">
        <v>182</v>
      </c>
      <c r="AA84" t="s">
        <v>184</v>
      </c>
      <c r="AB84" t="s">
        <v>182</v>
      </c>
      <c r="AC84" t="s">
        <v>182</v>
      </c>
      <c r="AD84" t="s">
        <v>182</v>
      </c>
      <c r="AE84" t="s">
        <v>182</v>
      </c>
    </row>
    <row r="85" spans="1:31" x14ac:dyDescent="0.25">
      <c r="A85" t="s">
        <v>136</v>
      </c>
      <c r="B85">
        <v>15</v>
      </c>
      <c r="C85" t="s">
        <v>6</v>
      </c>
      <c r="D85" t="s">
        <v>20</v>
      </c>
      <c r="E85" t="s">
        <v>20</v>
      </c>
      <c r="F85" t="s">
        <v>277</v>
      </c>
      <c r="G85" t="s">
        <v>182</v>
      </c>
      <c r="H85" t="s">
        <v>20</v>
      </c>
      <c r="I85" t="s">
        <v>246</v>
      </c>
      <c r="J85" t="s">
        <v>266</v>
      </c>
      <c r="K85" t="s">
        <v>182</v>
      </c>
      <c r="L85" t="s">
        <v>182</v>
      </c>
      <c r="M85" t="s">
        <v>182</v>
      </c>
      <c r="N85" t="s">
        <v>182</v>
      </c>
      <c r="O85" t="s">
        <v>182</v>
      </c>
      <c r="P85" t="s">
        <v>182</v>
      </c>
      <c r="Q85" t="s">
        <v>182</v>
      </c>
      <c r="R85" t="s">
        <v>182</v>
      </c>
      <c r="S85" t="s">
        <v>182</v>
      </c>
      <c r="T85" t="s">
        <v>182</v>
      </c>
      <c r="U85" t="s">
        <v>182</v>
      </c>
      <c r="V85" t="s">
        <v>182</v>
      </c>
      <c r="W85" t="s">
        <v>182</v>
      </c>
      <c r="X85" t="s">
        <v>182</v>
      </c>
      <c r="Y85" t="s">
        <v>182</v>
      </c>
      <c r="Z85" t="s">
        <v>182</v>
      </c>
      <c r="AA85" t="s">
        <v>184</v>
      </c>
      <c r="AB85" t="s">
        <v>182</v>
      </c>
      <c r="AC85" t="s">
        <v>182</v>
      </c>
      <c r="AD85" t="s">
        <v>182</v>
      </c>
      <c r="AE85" t="s">
        <v>182</v>
      </c>
    </row>
    <row r="86" spans="1:31" x14ac:dyDescent="0.25">
      <c r="A86" t="s">
        <v>58</v>
      </c>
      <c r="B86">
        <v>0</v>
      </c>
      <c r="C86" t="s">
        <v>6</v>
      </c>
      <c r="D86" t="s">
        <v>16</v>
      </c>
      <c r="E86" t="s">
        <v>16</v>
      </c>
      <c r="F86" t="s">
        <v>278</v>
      </c>
      <c r="G86" t="s">
        <v>182</v>
      </c>
      <c r="H86" t="s">
        <v>164</v>
      </c>
      <c r="I86" t="s">
        <v>182</v>
      </c>
      <c r="J86" t="s">
        <v>182</v>
      </c>
      <c r="K86" t="s">
        <v>182</v>
      </c>
      <c r="L86" t="s">
        <v>182</v>
      </c>
      <c r="M86" t="s">
        <v>182</v>
      </c>
      <c r="N86" t="s">
        <v>182</v>
      </c>
      <c r="O86" t="s">
        <v>182</v>
      </c>
      <c r="P86" t="s">
        <v>182</v>
      </c>
      <c r="Q86" t="s">
        <v>182</v>
      </c>
      <c r="R86" t="s">
        <v>182</v>
      </c>
      <c r="S86" t="s">
        <v>182</v>
      </c>
      <c r="T86" t="s">
        <v>182</v>
      </c>
      <c r="U86" t="s">
        <v>182</v>
      </c>
      <c r="V86" t="s">
        <v>182</v>
      </c>
      <c r="W86" t="s">
        <v>182</v>
      </c>
      <c r="X86" t="s">
        <v>182</v>
      </c>
      <c r="Y86" t="s">
        <v>182</v>
      </c>
      <c r="Z86" t="s">
        <v>182</v>
      </c>
      <c r="AA86" t="s">
        <v>182</v>
      </c>
      <c r="AB86" t="s">
        <v>182</v>
      </c>
      <c r="AC86" t="s">
        <v>182</v>
      </c>
      <c r="AD86" t="s">
        <v>182</v>
      </c>
      <c r="AE86" t="s">
        <v>182</v>
      </c>
    </row>
    <row r="87" spans="1:31" x14ac:dyDescent="0.25">
      <c r="A87" t="s">
        <v>92</v>
      </c>
      <c r="B87">
        <v>15</v>
      </c>
      <c r="C87" t="s">
        <v>6</v>
      </c>
      <c r="D87" t="s">
        <v>20</v>
      </c>
      <c r="E87" t="s">
        <v>20</v>
      </c>
      <c r="F87" t="s">
        <v>279</v>
      </c>
      <c r="G87" t="s">
        <v>182</v>
      </c>
      <c r="H87" t="s">
        <v>20</v>
      </c>
      <c r="I87" t="s">
        <v>265</v>
      </c>
      <c r="J87" t="s">
        <v>266</v>
      </c>
      <c r="K87" t="s">
        <v>182</v>
      </c>
      <c r="L87" t="s">
        <v>182</v>
      </c>
      <c r="M87" t="s">
        <v>182</v>
      </c>
      <c r="N87" t="s">
        <v>182</v>
      </c>
      <c r="O87" t="s">
        <v>182</v>
      </c>
      <c r="P87" t="s">
        <v>182</v>
      </c>
      <c r="Q87" t="s">
        <v>182</v>
      </c>
      <c r="R87" t="s">
        <v>291</v>
      </c>
      <c r="S87" t="s">
        <v>182</v>
      </c>
      <c r="T87" t="s">
        <v>182</v>
      </c>
      <c r="U87" t="s">
        <v>182</v>
      </c>
      <c r="V87" t="s">
        <v>182</v>
      </c>
      <c r="W87" t="s">
        <v>182</v>
      </c>
      <c r="X87" t="s">
        <v>182</v>
      </c>
      <c r="Y87" t="s">
        <v>182</v>
      </c>
      <c r="Z87" t="s">
        <v>182</v>
      </c>
      <c r="AA87" t="s">
        <v>185</v>
      </c>
      <c r="AB87" t="s">
        <v>182</v>
      </c>
      <c r="AC87" t="s">
        <v>182</v>
      </c>
      <c r="AD87" t="s">
        <v>182</v>
      </c>
      <c r="AE87" t="s">
        <v>182</v>
      </c>
    </row>
    <row r="88" spans="1:31" x14ac:dyDescent="0.25">
      <c r="A88" t="s">
        <v>41</v>
      </c>
      <c r="B88">
        <v>1500</v>
      </c>
      <c r="C88" t="s">
        <v>16</v>
      </c>
      <c r="D88" t="s">
        <v>16</v>
      </c>
      <c r="E88" t="s">
        <v>16</v>
      </c>
      <c r="F88" t="s">
        <v>280</v>
      </c>
      <c r="G88" t="s">
        <v>182</v>
      </c>
      <c r="H88" t="s">
        <v>164</v>
      </c>
      <c r="I88" t="s">
        <v>182</v>
      </c>
      <c r="J88" t="s">
        <v>182</v>
      </c>
      <c r="K88" t="s">
        <v>182</v>
      </c>
      <c r="L88" t="s">
        <v>182</v>
      </c>
      <c r="M88" t="s">
        <v>183</v>
      </c>
      <c r="N88" t="s">
        <v>182</v>
      </c>
      <c r="O88" t="s">
        <v>182</v>
      </c>
      <c r="P88" t="s">
        <v>182</v>
      </c>
      <c r="Q88" t="s">
        <v>182</v>
      </c>
      <c r="R88" t="s">
        <v>291</v>
      </c>
      <c r="S88" t="s">
        <v>182</v>
      </c>
      <c r="T88" t="s">
        <v>182</v>
      </c>
      <c r="U88" t="s">
        <v>182</v>
      </c>
      <c r="V88" t="s">
        <v>183</v>
      </c>
      <c r="W88" t="s">
        <v>182</v>
      </c>
      <c r="X88" t="s">
        <v>183</v>
      </c>
      <c r="Y88" t="s">
        <v>182</v>
      </c>
      <c r="Z88" t="s">
        <v>182</v>
      </c>
      <c r="AA88" t="s">
        <v>256</v>
      </c>
      <c r="AB88" t="s">
        <v>182</v>
      </c>
      <c r="AC88" t="s">
        <v>182</v>
      </c>
      <c r="AD88" t="s">
        <v>251</v>
      </c>
      <c r="AE88" t="s">
        <v>182</v>
      </c>
    </row>
    <row r="89" spans="1:31" x14ac:dyDescent="0.25">
      <c r="A89" t="s">
        <v>77</v>
      </c>
      <c r="B89">
        <v>1500</v>
      </c>
      <c r="C89" t="s">
        <v>16</v>
      </c>
      <c r="D89" t="s">
        <v>16</v>
      </c>
      <c r="E89" t="s">
        <v>16</v>
      </c>
      <c r="F89" t="s">
        <v>281</v>
      </c>
      <c r="G89" t="s">
        <v>182</v>
      </c>
      <c r="H89" t="s">
        <v>164</v>
      </c>
      <c r="I89" t="s">
        <v>182</v>
      </c>
      <c r="J89" t="s">
        <v>182</v>
      </c>
      <c r="K89" t="s">
        <v>182</v>
      </c>
      <c r="L89" t="s">
        <v>182</v>
      </c>
      <c r="M89" t="s">
        <v>183</v>
      </c>
      <c r="N89" t="s">
        <v>182</v>
      </c>
      <c r="O89" t="s">
        <v>182</v>
      </c>
      <c r="P89" t="s">
        <v>182</v>
      </c>
      <c r="Q89" t="s">
        <v>182</v>
      </c>
      <c r="R89" t="s">
        <v>291</v>
      </c>
      <c r="S89" t="s">
        <v>182</v>
      </c>
      <c r="T89" t="s">
        <v>182</v>
      </c>
      <c r="U89" t="s">
        <v>182</v>
      </c>
      <c r="V89" t="s">
        <v>183</v>
      </c>
      <c r="W89" t="s">
        <v>182</v>
      </c>
      <c r="X89" t="s">
        <v>183</v>
      </c>
      <c r="Y89" t="s">
        <v>182</v>
      </c>
      <c r="Z89" t="s">
        <v>182</v>
      </c>
      <c r="AA89" t="s">
        <v>256</v>
      </c>
      <c r="AB89" t="s">
        <v>182</v>
      </c>
      <c r="AC89" t="s">
        <v>182</v>
      </c>
      <c r="AD89" t="s">
        <v>251</v>
      </c>
      <c r="AE89" t="s">
        <v>182</v>
      </c>
    </row>
    <row r="90" spans="1:31" x14ac:dyDescent="0.25">
      <c r="A90" t="s">
        <v>155</v>
      </c>
      <c r="B90">
        <v>1500</v>
      </c>
      <c r="C90" t="s">
        <v>16</v>
      </c>
      <c r="D90" t="s">
        <v>16</v>
      </c>
      <c r="E90" t="s">
        <v>16</v>
      </c>
      <c r="F90" t="s">
        <v>282</v>
      </c>
      <c r="G90" t="s">
        <v>182</v>
      </c>
      <c r="H90" t="s">
        <v>164</v>
      </c>
      <c r="I90" t="s">
        <v>182</v>
      </c>
      <c r="J90" t="s">
        <v>182</v>
      </c>
      <c r="K90" t="s">
        <v>182</v>
      </c>
      <c r="L90" t="s">
        <v>182</v>
      </c>
      <c r="M90" t="s">
        <v>183</v>
      </c>
      <c r="N90" t="s">
        <v>182</v>
      </c>
      <c r="O90" t="s">
        <v>182</v>
      </c>
      <c r="P90" t="s">
        <v>182</v>
      </c>
      <c r="Q90" t="s">
        <v>182</v>
      </c>
      <c r="R90" t="s">
        <v>291</v>
      </c>
      <c r="S90" t="s">
        <v>182</v>
      </c>
      <c r="T90" t="s">
        <v>182</v>
      </c>
      <c r="U90" t="s">
        <v>182</v>
      </c>
      <c r="V90" t="s">
        <v>183</v>
      </c>
      <c r="W90" t="s">
        <v>182</v>
      </c>
      <c r="X90" t="s">
        <v>183</v>
      </c>
      <c r="Y90" t="s">
        <v>182</v>
      </c>
      <c r="Z90" t="s">
        <v>182</v>
      </c>
      <c r="AA90" t="s">
        <v>256</v>
      </c>
      <c r="AB90" t="s">
        <v>182</v>
      </c>
      <c r="AC90" t="s">
        <v>182</v>
      </c>
      <c r="AD90" t="s">
        <v>251</v>
      </c>
      <c r="AE90" t="s">
        <v>182</v>
      </c>
    </row>
    <row r="91" spans="1:31" x14ac:dyDescent="0.25">
      <c r="A91" t="s">
        <v>60</v>
      </c>
      <c r="B91">
        <v>1500</v>
      </c>
      <c r="C91" t="s">
        <v>16</v>
      </c>
      <c r="D91" t="s">
        <v>16</v>
      </c>
      <c r="E91" t="s">
        <v>16</v>
      </c>
      <c r="F91" t="s">
        <v>283</v>
      </c>
      <c r="G91" t="s">
        <v>182</v>
      </c>
      <c r="H91" t="s">
        <v>164</v>
      </c>
      <c r="I91" t="s">
        <v>182</v>
      </c>
      <c r="J91" t="s">
        <v>182</v>
      </c>
      <c r="K91" t="s">
        <v>182</v>
      </c>
      <c r="L91" t="s">
        <v>182</v>
      </c>
      <c r="M91" t="s">
        <v>183</v>
      </c>
      <c r="N91" t="s">
        <v>182</v>
      </c>
      <c r="O91" t="s">
        <v>182</v>
      </c>
      <c r="P91" t="s">
        <v>182</v>
      </c>
      <c r="Q91" t="s">
        <v>182</v>
      </c>
      <c r="R91" t="s">
        <v>291</v>
      </c>
      <c r="S91" t="s">
        <v>182</v>
      </c>
      <c r="T91" t="s">
        <v>182</v>
      </c>
      <c r="U91" t="s">
        <v>182</v>
      </c>
      <c r="V91" t="s">
        <v>183</v>
      </c>
      <c r="W91" t="s">
        <v>182</v>
      </c>
      <c r="X91" t="s">
        <v>183</v>
      </c>
      <c r="Y91" t="s">
        <v>182</v>
      </c>
      <c r="Z91" t="s">
        <v>182</v>
      </c>
      <c r="AA91" t="s">
        <v>256</v>
      </c>
      <c r="AB91" t="s">
        <v>182</v>
      </c>
      <c r="AC91" t="s">
        <v>182</v>
      </c>
      <c r="AD91" t="s">
        <v>251</v>
      </c>
      <c r="AE91" t="s">
        <v>182</v>
      </c>
    </row>
    <row r="92" spans="1:31" x14ac:dyDescent="0.25">
      <c r="A92" t="s">
        <v>82</v>
      </c>
      <c r="B92">
        <v>1500</v>
      </c>
      <c r="C92" t="s">
        <v>16</v>
      </c>
      <c r="D92" t="s">
        <v>16</v>
      </c>
      <c r="E92" t="s">
        <v>16</v>
      </c>
      <c r="F92" t="s">
        <v>284</v>
      </c>
      <c r="G92" t="s">
        <v>182</v>
      </c>
      <c r="H92" t="s">
        <v>164</v>
      </c>
      <c r="I92" t="s">
        <v>182</v>
      </c>
      <c r="J92" t="s">
        <v>182</v>
      </c>
      <c r="K92" t="s">
        <v>182</v>
      </c>
      <c r="L92" t="s">
        <v>182</v>
      </c>
      <c r="M92" t="s">
        <v>183</v>
      </c>
      <c r="N92" t="s">
        <v>182</v>
      </c>
      <c r="O92" t="s">
        <v>182</v>
      </c>
      <c r="P92" t="s">
        <v>182</v>
      </c>
      <c r="Q92" t="s">
        <v>182</v>
      </c>
      <c r="R92" t="s">
        <v>291</v>
      </c>
      <c r="S92" t="s">
        <v>182</v>
      </c>
      <c r="T92" t="s">
        <v>182</v>
      </c>
      <c r="U92" t="s">
        <v>182</v>
      </c>
      <c r="V92" t="s">
        <v>183</v>
      </c>
      <c r="W92" t="s">
        <v>182</v>
      </c>
      <c r="X92" t="s">
        <v>183</v>
      </c>
      <c r="Y92" t="s">
        <v>182</v>
      </c>
      <c r="Z92" t="s">
        <v>182</v>
      </c>
      <c r="AA92" t="s">
        <v>256</v>
      </c>
      <c r="AB92" t="s">
        <v>182</v>
      </c>
      <c r="AC92" t="s">
        <v>182</v>
      </c>
      <c r="AD92" t="s">
        <v>251</v>
      </c>
      <c r="AE92" t="s">
        <v>182</v>
      </c>
    </row>
    <row r="93" spans="1:31" x14ac:dyDescent="0.25">
      <c r="A93" t="s">
        <v>124</v>
      </c>
      <c r="B93">
        <v>1500</v>
      </c>
      <c r="C93" t="s">
        <v>16</v>
      </c>
      <c r="D93" t="s">
        <v>16</v>
      </c>
      <c r="E93" t="s">
        <v>16</v>
      </c>
      <c r="F93" t="s">
        <v>285</v>
      </c>
      <c r="G93" t="s">
        <v>182</v>
      </c>
      <c r="H93" t="s">
        <v>164</v>
      </c>
      <c r="I93" t="s">
        <v>182</v>
      </c>
      <c r="J93" t="s">
        <v>182</v>
      </c>
      <c r="K93" t="s">
        <v>182</v>
      </c>
      <c r="L93" t="s">
        <v>182</v>
      </c>
      <c r="M93" t="s">
        <v>183</v>
      </c>
      <c r="N93" t="s">
        <v>182</v>
      </c>
      <c r="O93" t="s">
        <v>182</v>
      </c>
      <c r="P93" t="s">
        <v>182</v>
      </c>
      <c r="Q93" t="s">
        <v>182</v>
      </c>
      <c r="R93" t="s">
        <v>291</v>
      </c>
      <c r="S93" t="s">
        <v>182</v>
      </c>
      <c r="T93" t="s">
        <v>182</v>
      </c>
      <c r="U93" t="s">
        <v>182</v>
      </c>
      <c r="V93" t="s">
        <v>183</v>
      </c>
      <c r="W93" t="s">
        <v>182</v>
      </c>
      <c r="X93" t="s">
        <v>183</v>
      </c>
      <c r="Y93" t="s">
        <v>182</v>
      </c>
      <c r="Z93" t="s">
        <v>182</v>
      </c>
      <c r="AA93" t="s">
        <v>256</v>
      </c>
      <c r="AB93" t="s">
        <v>182</v>
      </c>
      <c r="AC93" t="s">
        <v>182</v>
      </c>
      <c r="AD93" t="s">
        <v>251</v>
      </c>
      <c r="AE93" t="s">
        <v>182</v>
      </c>
    </row>
    <row r="94" spans="1:31" x14ac:dyDescent="0.25">
      <c r="A94" t="s">
        <v>167</v>
      </c>
      <c r="B94">
        <v>1500</v>
      </c>
      <c r="C94" t="s">
        <v>16</v>
      </c>
      <c r="D94" t="s">
        <v>16</v>
      </c>
      <c r="E94" t="s">
        <v>16</v>
      </c>
      <c r="F94" t="s">
        <v>286</v>
      </c>
      <c r="G94" t="s">
        <v>182</v>
      </c>
      <c r="H94" t="s">
        <v>164</v>
      </c>
      <c r="I94" t="s">
        <v>182</v>
      </c>
      <c r="J94" t="s">
        <v>182</v>
      </c>
      <c r="K94" t="s">
        <v>182</v>
      </c>
      <c r="L94" t="s">
        <v>182</v>
      </c>
      <c r="M94" t="s">
        <v>183</v>
      </c>
      <c r="N94" t="s">
        <v>182</v>
      </c>
      <c r="O94" t="s">
        <v>182</v>
      </c>
      <c r="P94" t="s">
        <v>182</v>
      </c>
      <c r="Q94" t="s">
        <v>182</v>
      </c>
      <c r="R94" t="s">
        <v>291</v>
      </c>
      <c r="S94" t="s">
        <v>182</v>
      </c>
      <c r="T94" t="s">
        <v>182</v>
      </c>
      <c r="U94" t="s">
        <v>182</v>
      </c>
      <c r="V94" t="s">
        <v>183</v>
      </c>
      <c r="W94" t="s">
        <v>182</v>
      </c>
      <c r="X94" t="s">
        <v>183</v>
      </c>
      <c r="Y94" t="s">
        <v>182</v>
      </c>
      <c r="Z94" t="s">
        <v>182</v>
      </c>
      <c r="AA94" t="s">
        <v>256</v>
      </c>
      <c r="AB94" t="s">
        <v>182</v>
      </c>
      <c r="AC94" t="s">
        <v>182</v>
      </c>
      <c r="AD94" t="s">
        <v>251</v>
      </c>
      <c r="AE94" t="s">
        <v>182</v>
      </c>
    </row>
    <row r="95" spans="1:31" x14ac:dyDescent="0.25">
      <c r="A95" t="s">
        <v>71</v>
      </c>
      <c r="B95">
        <v>1500</v>
      </c>
      <c r="C95" t="s">
        <v>16</v>
      </c>
      <c r="D95" t="s">
        <v>16</v>
      </c>
      <c r="E95" t="s">
        <v>16</v>
      </c>
      <c r="F95" t="s">
        <v>287</v>
      </c>
      <c r="G95" t="s">
        <v>182</v>
      </c>
      <c r="H95" t="s">
        <v>164</v>
      </c>
      <c r="I95" t="s">
        <v>182</v>
      </c>
      <c r="J95" t="s">
        <v>182</v>
      </c>
      <c r="K95" t="s">
        <v>182</v>
      </c>
      <c r="L95" t="s">
        <v>182</v>
      </c>
      <c r="M95" t="s">
        <v>183</v>
      </c>
      <c r="N95" t="s">
        <v>182</v>
      </c>
      <c r="O95" t="s">
        <v>182</v>
      </c>
      <c r="P95" t="s">
        <v>182</v>
      </c>
      <c r="Q95" t="s">
        <v>182</v>
      </c>
      <c r="R95" t="s">
        <v>291</v>
      </c>
      <c r="S95" t="s">
        <v>182</v>
      </c>
      <c r="T95" t="s">
        <v>182</v>
      </c>
      <c r="U95" t="s">
        <v>182</v>
      </c>
      <c r="V95" t="s">
        <v>183</v>
      </c>
      <c r="W95" t="s">
        <v>182</v>
      </c>
      <c r="X95" t="s">
        <v>183</v>
      </c>
      <c r="Y95" t="s">
        <v>182</v>
      </c>
      <c r="Z95" t="s">
        <v>182</v>
      </c>
      <c r="AA95" t="s">
        <v>256</v>
      </c>
      <c r="AB95" t="s">
        <v>182</v>
      </c>
      <c r="AC95" t="s">
        <v>182</v>
      </c>
      <c r="AD95" t="s">
        <v>251</v>
      </c>
      <c r="AE95" t="s">
        <v>182</v>
      </c>
    </row>
    <row r="96" spans="1:31" x14ac:dyDescent="0.25">
      <c r="A96" t="s">
        <v>91</v>
      </c>
      <c r="B96">
        <v>150</v>
      </c>
      <c r="C96" t="s">
        <v>6</v>
      </c>
      <c r="D96" t="s">
        <v>20</v>
      </c>
      <c r="E96" t="s">
        <v>20</v>
      </c>
      <c r="F96" t="s">
        <v>288</v>
      </c>
      <c r="G96" t="s">
        <v>182</v>
      </c>
      <c r="H96" t="s">
        <v>20</v>
      </c>
      <c r="I96" t="s">
        <v>289</v>
      </c>
      <c r="J96" t="s">
        <v>265</v>
      </c>
      <c r="K96" t="s">
        <v>182</v>
      </c>
      <c r="L96" t="s">
        <v>182</v>
      </c>
      <c r="M96" t="s">
        <v>182</v>
      </c>
      <c r="N96" t="s">
        <v>182</v>
      </c>
      <c r="O96" t="s">
        <v>182</v>
      </c>
      <c r="P96" t="s">
        <v>182</v>
      </c>
      <c r="Q96" t="s">
        <v>182</v>
      </c>
      <c r="R96" t="s">
        <v>356</v>
      </c>
      <c r="S96" t="s">
        <v>182</v>
      </c>
      <c r="T96" t="s">
        <v>182</v>
      </c>
      <c r="U96" t="s">
        <v>182</v>
      </c>
      <c r="V96" t="s">
        <v>182</v>
      </c>
      <c r="W96" t="s">
        <v>182</v>
      </c>
      <c r="X96" t="s">
        <v>183</v>
      </c>
      <c r="Y96" t="s">
        <v>182</v>
      </c>
      <c r="Z96" t="s">
        <v>182</v>
      </c>
      <c r="AA96" t="s">
        <v>183</v>
      </c>
      <c r="AB96" t="s">
        <v>182</v>
      </c>
      <c r="AC96" t="s">
        <v>182</v>
      </c>
      <c r="AD96" t="s">
        <v>182</v>
      </c>
      <c r="AE96" t="s">
        <v>182</v>
      </c>
    </row>
    <row r="97" spans="1:31" x14ac:dyDescent="0.25">
      <c r="A97" t="s">
        <v>158</v>
      </c>
      <c r="B97">
        <v>2000</v>
      </c>
      <c r="C97" t="s">
        <v>7</v>
      </c>
      <c r="D97" t="s">
        <v>21</v>
      </c>
      <c r="E97" t="s">
        <v>28</v>
      </c>
      <c r="F97" t="s">
        <v>290</v>
      </c>
      <c r="G97" t="s">
        <v>182</v>
      </c>
      <c r="H97" t="s">
        <v>244</v>
      </c>
      <c r="I97" t="s">
        <v>291</v>
      </c>
      <c r="J97" t="s">
        <v>266</v>
      </c>
      <c r="K97" t="s">
        <v>182</v>
      </c>
      <c r="L97" t="s">
        <v>182</v>
      </c>
      <c r="M97" t="s">
        <v>182</v>
      </c>
      <c r="N97" t="s">
        <v>182</v>
      </c>
      <c r="O97" t="s">
        <v>182</v>
      </c>
      <c r="P97" t="s">
        <v>182</v>
      </c>
      <c r="Q97" t="s">
        <v>182</v>
      </c>
      <c r="R97" t="s">
        <v>251</v>
      </c>
      <c r="S97" t="s">
        <v>182</v>
      </c>
      <c r="T97" t="s">
        <v>182</v>
      </c>
      <c r="U97" t="s">
        <v>182</v>
      </c>
      <c r="V97" t="s">
        <v>183</v>
      </c>
      <c r="W97" t="s">
        <v>355</v>
      </c>
      <c r="X97" t="s">
        <v>182</v>
      </c>
      <c r="Y97" t="s">
        <v>182</v>
      </c>
      <c r="Z97" t="s">
        <v>182</v>
      </c>
      <c r="AA97" t="s">
        <v>183</v>
      </c>
      <c r="AB97" t="s">
        <v>184</v>
      </c>
      <c r="AC97" t="s">
        <v>182</v>
      </c>
      <c r="AD97" t="s">
        <v>182</v>
      </c>
      <c r="AE97" t="s">
        <v>182</v>
      </c>
    </row>
    <row r="98" spans="1:31" x14ac:dyDescent="0.25">
      <c r="A98" t="s">
        <v>64</v>
      </c>
      <c r="B98">
        <v>2000</v>
      </c>
      <c r="C98" t="s">
        <v>7</v>
      </c>
      <c r="D98" t="s">
        <v>21</v>
      </c>
      <c r="E98" t="s">
        <v>28</v>
      </c>
      <c r="F98" t="s">
        <v>292</v>
      </c>
      <c r="G98" t="s">
        <v>182</v>
      </c>
      <c r="H98" t="s">
        <v>244</v>
      </c>
      <c r="I98" t="s">
        <v>291</v>
      </c>
      <c r="J98" t="s">
        <v>266</v>
      </c>
      <c r="K98" t="s">
        <v>182</v>
      </c>
      <c r="L98" t="s">
        <v>182</v>
      </c>
      <c r="M98" t="s">
        <v>182</v>
      </c>
      <c r="N98" t="s">
        <v>182</v>
      </c>
      <c r="O98" t="s">
        <v>182</v>
      </c>
      <c r="P98" t="s">
        <v>182</v>
      </c>
      <c r="Q98" t="s">
        <v>182</v>
      </c>
      <c r="R98" t="s">
        <v>251</v>
      </c>
      <c r="S98" t="s">
        <v>182</v>
      </c>
      <c r="T98" t="s">
        <v>182</v>
      </c>
      <c r="U98" t="s">
        <v>182</v>
      </c>
      <c r="V98" t="s">
        <v>183</v>
      </c>
      <c r="W98" t="s">
        <v>355</v>
      </c>
      <c r="X98" t="s">
        <v>182</v>
      </c>
      <c r="Y98" t="s">
        <v>182</v>
      </c>
      <c r="Z98" t="s">
        <v>182</v>
      </c>
      <c r="AA98" t="s">
        <v>183</v>
      </c>
      <c r="AB98" t="s">
        <v>184</v>
      </c>
      <c r="AC98" t="s">
        <v>182</v>
      </c>
      <c r="AD98" t="s">
        <v>182</v>
      </c>
      <c r="AE98" t="s">
        <v>182</v>
      </c>
    </row>
    <row r="99" spans="1:31" x14ac:dyDescent="0.25">
      <c r="A99" t="s">
        <v>102</v>
      </c>
      <c r="B99">
        <v>2000</v>
      </c>
      <c r="C99" t="s">
        <v>7</v>
      </c>
      <c r="D99" t="s">
        <v>21</v>
      </c>
      <c r="E99" t="s">
        <v>28</v>
      </c>
      <c r="F99" t="s">
        <v>293</v>
      </c>
      <c r="G99" t="s">
        <v>182</v>
      </c>
      <c r="H99" t="s">
        <v>244</v>
      </c>
      <c r="I99" t="s">
        <v>291</v>
      </c>
      <c r="J99" t="s">
        <v>266</v>
      </c>
      <c r="K99" t="s">
        <v>182</v>
      </c>
      <c r="L99" t="s">
        <v>182</v>
      </c>
      <c r="M99" t="s">
        <v>182</v>
      </c>
      <c r="N99" t="s">
        <v>182</v>
      </c>
      <c r="O99" t="s">
        <v>182</v>
      </c>
      <c r="P99" t="s">
        <v>182</v>
      </c>
      <c r="Q99" t="s">
        <v>182</v>
      </c>
      <c r="R99" t="s">
        <v>251</v>
      </c>
      <c r="S99" t="s">
        <v>182</v>
      </c>
      <c r="T99" t="s">
        <v>182</v>
      </c>
      <c r="U99" t="s">
        <v>182</v>
      </c>
      <c r="V99" t="s">
        <v>183</v>
      </c>
      <c r="W99" t="s">
        <v>355</v>
      </c>
      <c r="X99" t="s">
        <v>182</v>
      </c>
      <c r="Y99" t="s">
        <v>182</v>
      </c>
      <c r="Z99" t="s">
        <v>182</v>
      </c>
      <c r="AA99" t="s">
        <v>183</v>
      </c>
      <c r="AB99" t="s">
        <v>184</v>
      </c>
      <c r="AC99" t="s">
        <v>182</v>
      </c>
      <c r="AD99" t="s">
        <v>182</v>
      </c>
      <c r="AE99" t="s">
        <v>182</v>
      </c>
    </row>
    <row r="100" spans="1:31" x14ac:dyDescent="0.25">
      <c r="A100" t="s">
        <v>47</v>
      </c>
      <c r="B100">
        <v>2000</v>
      </c>
      <c r="C100" t="s">
        <v>7</v>
      </c>
      <c r="D100" t="s">
        <v>21</v>
      </c>
      <c r="E100" t="s">
        <v>28</v>
      </c>
      <c r="F100" t="s">
        <v>294</v>
      </c>
      <c r="G100" t="s">
        <v>182</v>
      </c>
      <c r="H100" t="s">
        <v>244</v>
      </c>
      <c r="I100" t="s">
        <v>291</v>
      </c>
      <c r="J100" t="s">
        <v>266</v>
      </c>
      <c r="K100" t="s">
        <v>182</v>
      </c>
      <c r="L100" t="s">
        <v>182</v>
      </c>
      <c r="M100" t="s">
        <v>182</v>
      </c>
      <c r="N100" t="s">
        <v>182</v>
      </c>
      <c r="O100" t="s">
        <v>182</v>
      </c>
      <c r="P100" t="s">
        <v>182</v>
      </c>
      <c r="Q100" t="s">
        <v>182</v>
      </c>
      <c r="R100" t="s">
        <v>251</v>
      </c>
      <c r="S100" t="s">
        <v>182</v>
      </c>
      <c r="T100" t="s">
        <v>182</v>
      </c>
      <c r="U100" t="s">
        <v>182</v>
      </c>
      <c r="V100" t="s">
        <v>183</v>
      </c>
      <c r="W100" t="s">
        <v>355</v>
      </c>
      <c r="X100" t="s">
        <v>182</v>
      </c>
      <c r="Y100" t="s">
        <v>182</v>
      </c>
      <c r="Z100" t="s">
        <v>182</v>
      </c>
      <c r="AA100" t="s">
        <v>183</v>
      </c>
      <c r="AB100" t="s">
        <v>184</v>
      </c>
      <c r="AC100" t="s">
        <v>182</v>
      </c>
      <c r="AD100" t="s">
        <v>182</v>
      </c>
      <c r="AE100" t="s">
        <v>182</v>
      </c>
    </row>
    <row r="101" spans="1:31" x14ac:dyDescent="0.25">
      <c r="A101" t="s">
        <v>76</v>
      </c>
      <c r="B101">
        <v>2000</v>
      </c>
      <c r="C101" t="s">
        <v>7</v>
      </c>
      <c r="D101" t="s">
        <v>21</v>
      </c>
      <c r="E101" t="s">
        <v>33</v>
      </c>
      <c r="F101" t="s">
        <v>295</v>
      </c>
      <c r="G101" t="s">
        <v>182</v>
      </c>
      <c r="H101" t="s">
        <v>244</v>
      </c>
      <c r="I101" t="s">
        <v>291</v>
      </c>
      <c r="J101" t="s">
        <v>266</v>
      </c>
      <c r="K101" t="s">
        <v>182</v>
      </c>
      <c r="L101" t="s">
        <v>182</v>
      </c>
      <c r="M101" t="s">
        <v>182</v>
      </c>
      <c r="N101" t="s">
        <v>182</v>
      </c>
      <c r="O101" t="s">
        <v>182</v>
      </c>
      <c r="P101" t="s">
        <v>182</v>
      </c>
      <c r="Q101" t="s">
        <v>182</v>
      </c>
      <c r="R101" t="s">
        <v>251</v>
      </c>
      <c r="S101" t="s">
        <v>182</v>
      </c>
      <c r="T101" t="s">
        <v>182</v>
      </c>
      <c r="U101" t="s">
        <v>182</v>
      </c>
      <c r="V101" t="s">
        <v>183</v>
      </c>
      <c r="W101" t="s">
        <v>355</v>
      </c>
      <c r="X101" t="s">
        <v>182</v>
      </c>
      <c r="Y101" t="s">
        <v>182</v>
      </c>
      <c r="Z101" t="s">
        <v>182</v>
      </c>
      <c r="AA101" t="s">
        <v>183</v>
      </c>
      <c r="AB101" t="s">
        <v>184</v>
      </c>
      <c r="AC101" t="s">
        <v>182</v>
      </c>
      <c r="AD101" t="s">
        <v>182</v>
      </c>
      <c r="AE101" t="s">
        <v>182</v>
      </c>
    </row>
    <row r="102" spans="1:31" x14ac:dyDescent="0.25">
      <c r="A102" t="s">
        <v>119</v>
      </c>
      <c r="B102">
        <v>2000</v>
      </c>
      <c r="C102" t="s">
        <v>7</v>
      </c>
      <c r="D102" t="s">
        <v>21</v>
      </c>
      <c r="E102" t="s">
        <v>33</v>
      </c>
      <c r="F102" t="s">
        <v>296</v>
      </c>
      <c r="G102" t="s">
        <v>182</v>
      </c>
      <c r="H102" t="s">
        <v>244</v>
      </c>
      <c r="I102" t="s">
        <v>291</v>
      </c>
      <c r="J102" t="s">
        <v>266</v>
      </c>
      <c r="K102" t="s">
        <v>182</v>
      </c>
      <c r="L102" t="s">
        <v>182</v>
      </c>
      <c r="M102" t="s">
        <v>182</v>
      </c>
      <c r="N102" t="s">
        <v>182</v>
      </c>
      <c r="O102" t="s">
        <v>182</v>
      </c>
      <c r="P102" t="s">
        <v>182</v>
      </c>
      <c r="Q102" t="s">
        <v>182</v>
      </c>
      <c r="R102" t="s">
        <v>251</v>
      </c>
      <c r="S102" t="s">
        <v>182</v>
      </c>
      <c r="T102" t="s">
        <v>182</v>
      </c>
      <c r="U102" t="s">
        <v>182</v>
      </c>
      <c r="V102" t="s">
        <v>183</v>
      </c>
      <c r="W102" t="s">
        <v>355</v>
      </c>
      <c r="X102" t="s">
        <v>182</v>
      </c>
      <c r="Y102" t="s">
        <v>182</v>
      </c>
      <c r="Z102" t="s">
        <v>182</v>
      </c>
      <c r="AA102" t="s">
        <v>183</v>
      </c>
      <c r="AB102" t="s">
        <v>184</v>
      </c>
      <c r="AC102" t="s">
        <v>182</v>
      </c>
      <c r="AD102" t="s">
        <v>182</v>
      </c>
      <c r="AE102" t="s">
        <v>182</v>
      </c>
    </row>
    <row r="103" spans="1:31" x14ac:dyDescent="0.25">
      <c r="A103" t="s">
        <v>162</v>
      </c>
      <c r="B103">
        <v>2000</v>
      </c>
      <c r="C103" t="s">
        <v>7</v>
      </c>
      <c r="D103" t="s">
        <v>21</v>
      </c>
      <c r="E103" t="s">
        <v>33</v>
      </c>
      <c r="F103" t="s">
        <v>297</v>
      </c>
      <c r="G103" t="s">
        <v>182</v>
      </c>
      <c r="H103" t="s">
        <v>244</v>
      </c>
      <c r="I103" t="s">
        <v>291</v>
      </c>
      <c r="J103" t="s">
        <v>266</v>
      </c>
      <c r="K103" t="s">
        <v>182</v>
      </c>
      <c r="L103" t="s">
        <v>182</v>
      </c>
      <c r="M103" t="s">
        <v>182</v>
      </c>
      <c r="N103" t="s">
        <v>182</v>
      </c>
      <c r="O103" t="s">
        <v>182</v>
      </c>
      <c r="P103" t="s">
        <v>182</v>
      </c>
      <c r="Q103" t="s">
        <v>182</v>
      </c>
      <c r="R103" t="s">
        <v>251</v>
      </c>
      <c r="S103" t="s">
        <v>182</v>
      </c>
      <c r="T103" t="s">
        <v>182</v>
      </c>
      <c r="U103" t="s">
        <v>182</v>
      </c>
      <c r="V103" t="s">
        <v>183</v>
      </c>
      <c r="W103" t="s">
        <v>355</v>
      </c>
      <c r="X103" t="s">
        <v>182</v>
      </c>
      <c r="Y103" t="s">
        <v>182</v>
      </c>
      <c r="Z103" t="s">
        <v>182</v>
      </c>
      <c r="AA103" t="s">
        <v>183</v>
      </c>
      <c r="AB103" t="s">
        <v>184</v>
      </c>
      <c r="AC103" t="s">
        <v>182</v>
      </c>
      <c r="AD103" t="s">
        <v>182</v>
      </c>
      <c r="AE103" t="s">
        <v>182</v>
      </c>
    </row>
    <row r="104" spans="1:31" x14ac:dyDescent="0.25">
      <c r="A104" t="s">
        <v>97</v>
      </c>
      <c r="B104">
        <v>2000</v>
      </c>
      <c r="C104" t="s">
        <v>7</v>
      </c>
      <c r="D104" t="s">
        <v>21</v>
      </c>
      <c r="E104" t="s">
        <v>33</v>
      </c>
      <c r="F104" t="s">
        <v>298</v>
      </c>
      <c r="G104" t="s">
        <v>182</v>
      </c>
      <c r="H104" t="s">
        <v>244</v>
      </c>
      <c r="I104" t="s">
        <v>291</v>
      </c>
      <c r="J104" t="s">
        <v>266</v>
      </c>
      <c r="K104" t="s">
        <v>182</v>
      </c>
      <c r="L104" t="s">
        <v>182</v>
      </c>
      <c r="M104" t="s">
        <v>182</v>
      </c>
      <c r="N104" t="s">
        <v>182</v>
      </c>
      <c r="O104" t="s">
        <v>182</v>
      </c>
      <c r="P104" t="s">
        <v>182</v>
      </c>
      <c r="Q104" t="s">
        <v>182</v>
      </c>
      <c r="R104" t="s">
        <v>251</v>
      </c>
      <c r="S104" t="s">
        <v>182</v>
      </c>
      <c r="T104" t="s">
        <v>182</v>
      </c>
      <c r="U104" t="s">
        <v>182</v>
      </c>
      <c r="V104" t="s">
        <v>183</v>
      </c>
      <c r="W104" t="s">
        <v>355</v>
      </c>
      <c r="X104" t="s">
        <v>182</v>
      </c>
      <c r="Y104" t="s">
        <v>182</v>
      </c>
      <c r="Z104" t="s">
        <v>182</v>
      </c>
      <c r="AA104" t="s">
        <v>183</v>
      </c>
      <c r="AB104" t="s">
        <v>184</v>
      </c>
      <c r="AC104" t="s">
        <v>182</v>
      </c>
      <c r="AD104" t="s">
        <v>182</v>
      </c>
      <c r="AE104" t="s">
        <v>182</v>
      </c>
    </row>
    <row r="105" spans="1:31" x14ac:dyDescent="0.25">
      <c r="A105" t="s">
        <v>59</v>
      </c>
      <c r="B105">
        <v>2000</v>
      </c>
      <c r="C105" t="s">
        <v>7</v>
      </c>
      <c r="D105" t="s">
        <v>21</v>
      </c>
      <c r="E105" t="s">
        <v>28</v>
      </c>
      <c r="F105" t="s">
        <v>299</v>
      </c>
      <c r="G105" t="s">
        <v>182</v>
      </c>
      <c r="H105" t="s">
        <v>244</v>
      </c>
      <c r="I105" t="s">
        <v>291</v>
      </c>
      <c r="J105" t="s">
        <v>266</v>
      </c>
      <c r="K105" t="s">
        <v>182</v>
      </c>
      <c r="L105" t="s">
        <v>182</v>
      </c>
      <c r="M105" t="s">
        <v>182</v>
      </c>
      <c r="N105" t="s">
        <v>182</v>
      </c>
      <c r="O105" t="s">
        <v>182</v>
      </c>
      <c r="P105" t="s">
        <v>182</v>
      </c>
      <c r="Q105" t="s">
        <v>182</v>
      </c>
      <c r="R105" t="s">
        <v>251</v>
      </c>
      <c r="S105" t="s">
        <v>182</v>
      </c>
      <c r="T105" t="s">
        <v>182</v>
      </c>
      <c r="U105" t="s">
        <v>182</v>
      </c>
      <c r="V105" t="s">
        <v>183</v>
      </c>
      <c r="W105" t="s">
        <v>355</v>
      </c>
      <c r="X105" t="s">
        <v>182</v>
      </c>
      <c r="Y105" t="s">
        <v>182</v>
      </c>
      <c r="Z105" t="s">
        <v>182</v>
      </c>
      <c r="AA105" t="s">
        <v>183</v>
      </c>
      <c r="AB105" t="s">
        <v>184</v>
      </c>
      <c r="AC105" t="s">
        <v>182</v>
      </c>
      <c r="AD105" t="s">
        <v>182</v>
      </c>
      <c r="AE105" t="s">
        <v>182</v>
      </c>
    </row>
    <row r="106" spans="1:31" x14ac:dyDescent="0.25">
      <c r="A106" t="s">
        <v>65</v>
      </c>
      <c r="B106">
        <v>0</v>
      </c>
      <c r="C106" t="s">
        <v>6</v>
      </c>
      <c r="D106" t="s">
        <v>16</v>
      </c>
      <c r="E106" t="s">
        <v>16</v>
      </c>
      <c r="F106" t="s">
        <v>300</v>
      </c>
      <c r="G106" t="s">
        <v>182</v>
      </c>
      <c r="H106" t="s">
        <v>164</v>
      </c>
      <c r="I106" t="s">
        <v>182</v>
      </c>
      <c r="J106" t="s">
        <v>182</v>
      </c>
      <c r="K106" t="s">
        <v>182</v>
      </c>
      <c r="L106" t="s">
        <v>182</v>
      </c>
      <c r="M106" t="s">
        <v>182</v>
      </c>
      <c r="N106" t="s">
        <v>182</v>
      </c>
      <c r="O106" t="s">
        <v>182</v>
      </c>
      <c r="P106" t="s">
        <v>182</v>
      </c>
      <c r="Q106" t="s">
        <v>182</v>
      </c>
      <c r="R106" t="s">
        <v>182</v>
      </c>
      <c r="S106" t="s">
        <v>182</v>
      </c>
      <c r="T106" t="s">
        <v>182</v>
      </c>
      <c r="U106" t="s">
        <v>182</v>
      </c>
      <c r="V106" t="s">
        <v>182</v>
      </c>
      <c r="W106" t="s">
        <v>182</v>
      </c>
      <c r="X106" t="s">
        <v>182</v>
      </c>
      <c r="Y106" t="s">
        <v>182</v>
      </c>
      <c r="Z106" t="s">
        <v>182</v>
      </c>
      <c r="AA106" t="s">
        <v>182</v>
      </c>
      <c r="AB106" t="s">
        <v>182</v>
      </c>
      <c r="AC106" t="s">
        <v>182</v>
      </c>
      <c r="AD106" t="s">
        <v>182</v>
      </c>
      <c r="AE106" t="s">
        <v>182</v>
      </c>
    </row>
    <row r="107" spans="1:31" x14ac:dyDescent="0.25">
      <c r="A107" t="s">
        <v>131</v>
      </c>
      <c r="B107">
        <v>0</v>
      </c>
      <c r="C107" t="s">
        <v>6</v>
      </c>
      <c r="D107" t="s">
        <v>16</v>
      </c>
      <c r="E107" t="s">
        <v>16</v>
      </c>
      <c r="F107" t="s">
        <v>301</v>
      </c>
      <c r="G107" t="s">
        <v>182</v>
      </c>
      <c r="H107" t="s">
        <v>164</v>
      </c>
      <c r="I107" t="s">
        <v>182</v>
      </c>
      <c r="J107" t="s">
        <v>182</v>
      </c>
      <c r="K107" t="s">
        <v>182</v>
      </c>
      <c r="L107" t="s">
        <v>182</v>
      </c>
      <c r="M107" t="s">
        <v>182</v>
      </c>
      <c r="N107" t="s">
        <v>182</v>
      </c>
      <c r="O107" t="s">
        <v>182</v>
      </c>
      <c r="P107" t="s">
        <v>182</v>
      </c>
      <c r="Q107" t="s">
        <v>182</v>
      </c>
      <c r="R107" t="s">
        <v>182</v>
      </c>
      <c r="S107" t="s">
        <v>182</v>
      </c>
      <c r="T107" t="s">
        <v>182</v>
      </c>
      <c r="U107" t="s">
        <v>182</v>
      </c>
      <c r="V107" t="s">
        <v>182</v>
      </c>
      <c r="W107" t="s">
        <v>182</v>
      </c>
      <c r="X107" t="s">
        <v>182</v>
      </c>
      <c r="Y107" t="s">
        <v>182</v>
      </c>
      <c r="Z107" t="s">
        <v>182</v>
      </c>
      <c r="AA107" t="s">
        <v>182</v>
      </c>
      <c r="AB107" t="s">
        <v>182</v>
      </c>
      <c r="AC107" t="s">
        <v>182</v>
      </c>
      <c r="AD107" t="s">
        <v>182</v>
      </c>
      <c r="AE107" t="s">
        <v>182</v>
      </c>
    </row>
    <row r="108" spans="1:31" x14ac:dyDescent="0.25">
      <c r="A108" t="s">
        <v>87</v>
      </c>
      <c r="B108">
        <v>500</v>
      </c>
      <c r="C108" t="s">
        <v>11</v>
      </c>
      <c r="D108" t="s">
        <v>5</v>
      </c>
      <c r="E108" t="s">
        <v>28</v>
      </c>
      <c r="F108" t="s">
        <v>302</v>
      </c>
      <c r="G108" t="s">
        <v>182</v>
      </c>
      <c r="H108" t="s">
        <v>164</v>
      </c>
      <c r="I108" t="s">
        <v>182</v>
      </c>
      <c r="J108" t="s">
        <v>182</v>
      </c>
      <c r="K108" t="s">
        <v>182</v>
      </c>
      <c r="L108" t="s">
        <v>182</v>
      </c>
      <c r="M108" t="s">
        <v>357</v>
      </c>
      <c r="N108" t="s">
        <v>183</v>
      </c>
      <c r="O108" t="s">
        <v>182</v>
      </c>
      <c r="P108" t="s">
        <v>182</v>
      </c>
      <c r="Q108" t="s">
        <v>182</v>
      </c>
      <c r="R108" t="s">
        <v>251</v>
      </c>
      <c r="S108" t="s">
        <v>182</v>
      </c>
      <c r="T108" t="s">
        <v>182</v>
      </c>
      <c r="U108" t="s">
        <v>182</v>
      </c>
      <c r="V108" t="s">
        <v>183</v>
      </c>
      <c r="W108" t="s">
        <v>355</v>
      </c>
      <c r="X108" t="s">
        <v>182</v>
      </c>
      <c r="Y108" t="s">
        <v>182</v>
      </c>
      <c r="Z108" t="s">
        <v>182</v>
      </c>
      <c r="AA108" t="s">
        <v>386</v>
      </c>
      <c r="AB108" t="s">
        <v>182</v>
      </c>
      <c r="AC108" t="s">
        <v>182</v>
      </c>
      <c r="AD108" t="s">
        <v>251</v>
      </c>
      <c r="AE108" t="s">
        <v>182</v>
      </c>
    </row>
    <row r="109" spans="1:31" x14ac:dyDescent="0.25">
      <c r="A109" t="s">
        <v>170</v>
      </c>
      <c r="B109">
        <v>15</v>
      </c>
      <c r="C109" t="s">
        <v>6</v>
      </c>
      <c r="D109" t="s">
        <v>20</v>
      </c>
      <c r="E109" t="s">
        <v>20</v>
      </c>
      <c r="F109" t="s">
        <v>303</v>
      </c>
      <c r="G109" t="s">
        <v>182</v>
      </c>
      <c r="H109" t="s">
        <v>164</v>
      </c>
      <c r="I109" t="s">
        <v>304</v>
      </c>
      <c r="J109" t="s">
        <v>305</v>
      </c>
      <c r="K109" t="s">
        <v>182</v>
      </c>
      <c r="L109" t="s">
        <v>182</v>
      </c>
      <c r="M109" t="s">
        <v>182</v>
      </c>
      <c r="N109" t="s">
        <v>182</v>
      </c>
      <c r="O109" t="s">
        <v>182</v>
      </c>
      <c r="P109" t="s">
        <v>182</v>
      </c>
      <c r="Q109" t="s">
        <v>182</v>
      </c>
      <c r="R109" t="s">
        <v>358</v>
      </c>
      <c r="S109" t="s">
        <v>182</v>
      </c>
      <c r="T109" t="s">
        <v>182</v>
      </c>
      <c r="U109" t="s">
        <v>182</v>
      </c>
      <c r="V109" t="s">
        <v>182</v>
      </c>
      <c r="W109" t="s">
        <v>182</v>
      </c>
      <c r="X109" t="s">
        <v>182</v>
      </c>
      <c r="Y109" t="s">
        <v>182</v>
      </c>
      <c r="Z109" t="s">
        <v>182</v>
      </c>
      <c r="AA109" t="s">
        <v>357</v>
      </c>
      <c r="AB109" t="s">
        <v>182</v>
      </c>
      <c r="AC109" t="s">
        <v>182</v>
      </c>
      <c r="AD109" t="s">
        <v>182</v>
      </c>
      <c r="AE109" t="s">
        <v>182</v>
      </c>
    </row>
    <row r="110" spans="1:31" x14ac:dyDescent="0.25">
      <c r="A110" t="s">
        <v>150</v>
      </c>
      <c r="B110">
        <v>15</v>
      </c>
      <c r="C110" t="s">
        <v>6</v>
      </c>
      <c r="D110" t="s">
        <v>20</v>
      </c>
      <c r="E110" t="s">
        <v>20</v>
      </c>
      <c r="F110" t="s">
        <v>306</v>
      </c>
      <c r="G110" t="s">
        <v>182</v>
      </c>
      <c r="H110" t="s">
        <v>164</v>
      </c>
      <c r="I110" t="s">
        <v>304</v>
      </c>
      <c r="J110" t="s">
        <v>305</v>
      </c>
      <c r="K110" t="s">
        <v>182</v>
      </c>
      <c r="L110" t="s">
        <v>182</v>
      </c>
      <c r="M110" t="s">
        <v>182</v>
      </c>
      <c r="N110" t="s">
        <v>182</v>
      </c>
      <c r="O110" t="s">
        <v>182</v>
      </c>
      <c r="P110" t="s">
        <v>182</v>
      </c>
      <c r="Q110" t="s">
        <v>182</v>
      </c>
      <c r="R110" t="s">
        <v>358</v>
      </c>
      <c r="S110" t="s">
        <v>182</v>
      </c>
      <c r="T110" t="s">
        <v>182</v>
      </c>
      <c r="U110" t="s">
        <v>182</v>
      </c>
      <c r="V110" t="s">
        <v>182</v>
      </c>
      <c r="W110" t="s">
        <v>182</v>
      </c>
      <c r="X110" t="s">
        <v>182</v>
      </c>
      <c r="Y110" t="s">
        <v>182</v>
      </c>
      <c r="Z110" t="s">
        <v>182</v>
      </c>
      <c r="AA110" t="s">
        <v>357</v>
      </c>
      <c r="AB110" t="s">
        <v>182</v>
      </c>
      <c r="AC110" t="s">
        <v>182</v>
      </c>
      <c r="AD110" t="s">
        <v>182</v>
      </c>
      <c r="AE110" t="s">
        <v>182</v>
      </c>
    </row>
    <row r="111" spans="1:31" x14ac:dyDescent="0.25">
      <c r="A111" t="s">
        <v>107</v>
      </c>
      <c r="B111">
        <v>1000</v>
      </c>
      <c r="C111" t="s">
        <v>6</v>
      </c>
      <c r="D111" t="s">
        <v>21</v>
      </c>
      <c r="E111" t="s">
        <v>32</v>
      </c>
      <c r="F111" t="s">
        <v>307</v>
      </c>
      <c r="G111" t="s">
        <v>182</v>
      </c>
      <c r="H111" t="s">
        <v>164</v>
      </c>
      <c r="I111" t="s">
        <v>308</v>
      </c>
      <c r="J111" t="s">
        <v>265</v>
      </c>
      <c r="K111" t="s">
        <v>182</v>
      </c>
      <c r="L111" t="s">
        <v>182</v>
      </c>
      <c r="M111" t="s">
        <v>182</v>
      </c>
      <c r="N111" t="s">
        <v>182</v>
      </c>
      <c r="O111" t="s">
        <v>182</v>
      </c>
      <c r="P111" t="s">
        <v>182</v>
      </c>
      <c r="Q111" t="s">
        <v>182</v>
      </c>
      <c r="R111" t="s">
        <v>251</v>
      </c>
      <c r="S111" t="s">
        <v>182</v>
      </c>
      <c r="T111" t="s">
        <v>182</v>
      </c>
      <c r="U111" t="s">
        <v>182</v>
      </c>
      <c r="V111" t="s">
        <v>183</v>
      </c>
      <c r="W111" t="s">
        <v>355</v>
      </c>
      <c r="X111" t="s">
        <v>182</v>
      </c>
      <c r="Y111" t="s">
        <v>182</v>
      </c>
      <c r="Z111" t="s">
        <v>182</v>
      </c>
      <c r="AA111" t="s">
        <v>375</v>
      </c>
      <c r="AB111" t="s">
        <v>182</v>
      </c>
      <c r="AC111" t="s">
        <v>182</v>
      </c>
      <c r="AD111" t="s">
        <v>182</v>
      </c>
      <c r="AE111" t="s">
        <v>182</v>
      </c>
    </row>
    <row r="112" spans="1:31" x14ac:dyDescent="0.25">
      <c r="A112" t="s">
        <v>115</v>
      </c>
      <c r="B112">
        <v>1000</v>
      </c>
      <c r="C112" t="s">
        <v>6</v>
      </c>
      <c r="D112" t="s">
        <v>21</v>
      </c>
      <c r="E112" t="s">
        <v>32</v>
      </c>
      <c r="F112" t="s">
        <v>309</v>
      </c>
      <c r="G112" t="s">
        <v>182</v>
      </c>
      <c r="H112" t="s">
        <v>164</v>
      </c>
      <c r="I112" t="s">
        <v>310</v>
      </c>
      <c r="J112" t="s">
        <v>265</v>
      </c>
      <c r="K112" t="s">
        <v>182</v>
      </c>
      <c r="L112" t="s">
        <v>182</v>
      </c>
      <c r="M112" t="s">
        <v>182</v>
      </c>
      <c r="N112" t="s">
        <v>182</v>
      </c>
      <c r="O112" t="s">
        <v>182</v>
      </c>
      <c r="P112" t="s">
        <v>182</v>
      </c>
      <c r="Q112" t="s">
        <v>182</v>
      </c>
      <c r="R112" t="s">
        <v>251</v>
      </c>
      <c r="S112" t="s">
        <v>182</v>
      </c>
      <c r="T112" t="s">
        <v>182</v>
      </c>
      <c r="U112" t="s">
        <v>182</v>
      </c>
      <c r="V112" t="s">
        <v>183</v>
      </c>
      <c r="W112" t="s">
        <v>355</v>
      </c>
      <c r="X112" t="s">
        <v>182</v>
      </c>
      <c r="Y112" t="s">
        <v>182</v>
      </c>
      <c r="Z112" t="s">
        <v>182</v>
      </c>
      <c r="AA112" t="s">
        <v>259</v>
      </c>
      <c r="AB112" t="s">
        <v>182</v>
      </c>
      <c r="AC112" t="s">
        <v>182</v>
      </c>
      <c r="AD112" t="s">
        <v>182</v>
      </c>
      <c r="AE112" t="s">
        <v>182</v>
      </c>
    </row>
    <row r="113" spans="1:31" x14ac:dyDescent="0.25">
      <c r="A113" t="s">
        <v>95</v>
      </c>
      <c r="B113">
        <v>0</v>
      </c>
      <c r="C113" t="s">
        <v>16</v>
      </c>
      <c r="D113" t="s">
        <v>16</v>
      </c>
      <c r="E113" t="s">
        <v>36</v>
      </c>
      <c r="F113" t="s">
        <v>311</v>
      </c>
      <c r="G113" t="s">
        <v>182</v>
      </c>
      <c r="H113" t="s">
        <v>164</v>
      </c>
      <c r="I113" t="s">
        <v>182</v>
      </c>
      <c r="J113" t="s">
        <v>182</v>
      </c>
      <c r="K113" t="s">
        <v>182</v>
      </c>
      <c r="L113" t="s">
        <v>182</v>
      </c>
      <c r="M113" t="s">
        <v>183</v>
      </c>
      <c r="N113" t="s">
        <v>182</v>
      </c>
      <c r="O113" t="s">
        <v>182</v>
      </c>
      <c r="P113" t="s">
        <v>182</v>
      </c>
      <c r="Q113" t="s">
        <v>182</v>
      </c>
      <c r="R113" t="s">
        <v>282</v>
      </c>
      <c r="S113" t="s">
        <v>182</v>
      </c>
      <c r="T113" t="s">
        <v>182</v>
      </c>
      <c r="U113" t="s">
        <v>182</v>
      </c>
      <c r="V113" t="s">
        <v>183</v>
      </c>
      <c r="W113" t="s">
        <v>182</v>
      </c>
      <c r="X113" t="s">
        <v>183</v>
      </c>
      <c r="Y113" t="s">
        <v>182</v>
      </c>
      <c r="Z113" t="s">
        <v>182</v>
      </c>
      <c r="AA113" t="s">
        <v>183</v>
      </c>
      <c r="AB113" t="s">
        <v>183</v>
      </c>
      <c r="AC113" t="s">
        <v>182</v>
      </c>
      <c r="AD113" t="s">
        <v>251</v>
      </c>
      <c r="AE113" t="s">
        <v>182</v>
      </c>
    </row>
    <row r="114" spans="1:31" x14ac:dyDescent="0.25">
      <c r="A114" t="s">
        <v>175</v>
      </c>
      <c r="B114">
        <v>1</v>
      </c>
      <c r="C114" t="s">
        <v>6</v>
      </c>
      <c r="D114" t="s">
        <v>20</v>
      </c>
      <c r="E114" t="s">
        <v>20</v>
      </c>
      <c r="F114" t="s">
        <v>312</v>
      </c>
      <c r="G114" t="s">
        <v>182</v>
      </c>
      <c r="H114" t="s">
        <v>20</v>
      </c>
      <c r="I114" t="s">
        <v>265</v>
      </c>
      <c r="J114" t="s">
        <v>214</v>
      </c>
      <c r="K114" t="s">
        <v>182</v>
      </c>
      <c r="L114" t="s">
        <v>182</v>
      </c>
      <c r="M114" t="s">
        <v>182</v>
      </c>
      <c r="N114" t="s">
        <v>182</v>
      </c>
      <c r="O114" t="s">
        <v>182</v>
      </c>
      <c r="P114" t="s">
        <v>182</v>
      </c>
      <c r="Q114" t="s">
        <v>182</v>
      </c>
      <c r="R114" t="s">
        <v>313</v>
      </c>
      <c r="S114" t="s">
        <v>182</v>
      </c>
      <c r="T114" t="s">
        <v>182</v>
      </c>
      <c r="U114" t="s">
        <v>182</v>
      </c>
      <c r="V114" t="s">
        <v>182</v>
      </c>
      <c r="W114" t="s">
        <v>182</v>
      </c>
      <c r="X114" t="s">
        <v>182</v>
      </c>
      <c r="Y114" t="s">
        <v>182</v>
      </c>
      <c r="Z114" t="s">
        <v>182</v>
      </c>
      <c r="AA114" t="s">
        <v>185</v>
      </c>
      <c r="AB114" t="s">
        <v>182</v>
      </c>
      <c r="AC114" t="s">
        <v>182</v>
      </c>
      <c r="AD114" t="s">
        <v>182</v>
      </c>
      <c r="AE114" t="s">
        <v>182</v>
      </c>
    </row>
    <row r="115" spans="1:31" x14ac:dyDescent="0.25">
      <c r="A115" t="s">
        <v>152</v>
      </c>
      <c r="B115">
        <v>15</v>
      </c>
      <c r="C115" t="s">
        <v>6</v>
      </c>
      <c r="D115" t="s">
        <v>20</v>
      </c>
      <c r="E115" t="s">
        <v>20</v>
      </c>
      <c r="F115" t="s">
        <v>313</v>
      </c>
      <c r="G115" t="s">
        <v>182</v>
      </c>
      <c r="H115" t="s">
        <v>20</v>
      </c>
      <c r="I115" t="s">
        <v>265</v>
      </c>
      <c r="J115" t="s">
        <v>214</v>
      </c>
      <c r="K115" t="s">
        <v>182</v>
      </c>
      <c r="L115" t="s">
        <v>182</v>
      </c>
      <c r="M115" t="s">
        <v>182</v>
      </c>
      <c r="N115" t="s">
        <v>182</v>
      </c>
      <c r="O115" t="s">
        <v>182</v>
      </c>
      <c r="P115" t="s">
        <v>182</v>
      </c>
      <c r="Q115" t="s">
        <v>182</v>
      </c>
      <c r="R115" t="s">
        <v>313</v>
      </c>
      <c r="S115" t="s">
        <v>182</v>
      </c>
      <c r="T115" t="s">
        <v>182</v>
      </c>
      <c r="U115" t="s">
        <v>182</v>
      </c>
      <c r="V115" t="s">
        <v>182</v>
      </c>
      <c r="W115" t="s">
        <v>182</v>
      </c>
      <c r="X115" t="s">
        <v>182</v>
      </c>
      <c r="Y115" t="s">
        <v>182</v>
      </c>
      <c r="Z115" t="s">
        <v>182</v>
      </c>
      <c r="AA115" t="s">
        <v>185</v>
      </c>
      <c r="AB115" t="s">
        <v>182</v>
      </c>
      <c r="AC115" t="s">
        <v>182</v>
      </c>
      <c r="AD115" t="s">
        <v>182</v>
      </c>
      <c r="AE115" t="s">
        <v>182</v>
      </c>
    </row>
    <row r="116" spans="1:31" x14ac:dyDescent="0.25">
      <c r="A116" t="s">
        <v>73</v>
      </c>
      <c r="B116">
        <v>15</v>
      </c>
      <c r="C116" t="s">
        <v>6</v>
      </c>
      <c r="D116" t="s">
        <v>20</v>
      </c>
      <c r="E116" t="s">
        <v>20</v>
      </c>
      <c r="F116" t="s">
        <v>314</v>
      </c>
      <c r="G116" t="s">
        <v>182</v>
      </c>
      <c r="H116" t="s">
        <v>315</v>
      </c>
      <c r="I116" t="s">
        <v>182</v>
      </c>
      <c r="J116" t="s">
        <v>182</v>
      </c>
      <c r="K116" t="s">
        <v>182</v>
      </c>
      <c r="L116" t="s">
        <v>182</v>
      </c>
      <c r="M116" t="s">
        <v>182</v>
      </c>
      <c r="N116" t="s">
        <v>182</v>
      </c>
      <c r="O116" t="s">
        <v>182</v>
      </c>
      <c r="P116" t="s">
        <v>182</v>
      </c>
      <c r="Q116" t="s">
        <v>182</v>
      </c>
      <c r="R116" t="s">
        <v>359</v>
      </c>
      <c r="S116" t="s">
        <v>182</v>
      </c>
      <c r="T116" t="s">
        <v>182</v>
      </c>
      <c r="U116" t="s">
        <v>182</v>
      </c>
      <c r="V116" t="s">
        <v>182</v>
      </c>
      <c r="W116" t="s">
        <v>182</v>
      </c>
      <c r="X116" t="s">
        <v>182</v>
      </c>
      <c r="Y116" t="s">
        <v>182</v>
      </c>
      <c r="Z116" t="s">
        <v>182</v>
      </c>
      <c r="AA116" t="s">
        <v>185</v>
      </c>
      <c r="AB116" t="s">
        <v>182</v>
      </c>
      <c r="AC116" t="s">
        <v>182</v>
      </c>
      <c r="AD116" t="s">
        <v>182</v>
      </c>
      <c r="AE116" t="s">
        <v>182</v>
      </c>
    </row>
    <row r="117" spans="1:31" x14ac:dyDescent="0.25">
      <c r="A117" t="s">
        <v>86</v>
      </c>
      <c r="B117">
        <v>15</v>
      </c>
      <c r="C117" t="s">
        <v>6</v>
      </c>
      <c r="D117" t="s">
        <v>20</v>
      </c>
      <c r="E117" t="s">
        <v>20</v>
      </c>
      <c r="F117" t="s">
        <v>316</v>
      </c>
      <c r="G117" t="s">
        <v>182</v>
      </c>
      <c r="H117" t="s">
        <v>315</v>
      </c>
      <c r="I117" t="s">
        <v>182</v>
      </c>
      <c r="J117" t="s">
        <v>182</v>
      </c>
      <c r="K117" t="s">
        <v>182</v>
      </c>
      <c r="L117" t="s">
        <v>182</v>
      </c>
      <c r="M117" t="s">
        <v>182</v>
      </c>
      <c r="N117" t="s">
        <v>182</v>
      </c>
      <c r="O117" t="s">
        <v>182</v>
      </c>
      <c r="P117" t="s">
        <v>182</v>
      </c>
      <c r="Q117" t="s">
        <v>182</v>
      </c>
      <c r="R117" t="s">
        <v>359</v>
      </c>
      <c r="S117" t="s">
        <v>182</v>
      </c>
      <c r="T117" t="s">
        <v>182</v>
      </c>
      <c r="U117" t="s">
        <v>182</v>
      </c>
      <c r="V117" t="s">
        <v>182</v>
      </c>
      <c r="W117" t="s">
        <v>182</v>
      </c>
      <c r="X117" t="s">
        <v>182</v>
      </c>
      <c r="Y117" t="s">
        <v>182</v>
      </c>
      <c r="Z117" t="s">
        <v>182</v>
      </c>
      <c r="AA117" t="s">
        <v>185</v>
      </c>
      <c r="AB117" t="s">
        <v>182</v>
      </c>
      <c r="AC117" t="s">
        <v>182</v>
      </c>
      <c r="AD117" t="s">
        <v>182</v>
      </c>
      <c r="AE117" t="s">
        <v>182</v>
      </c>
    </row>
    <row r="118" spans="1:31" x14ac:dyDescent="0.25">
      <c r="A118" t="s">
        <v>168</v>
      </c>
      <c r="B118">
        <v>0</v>
      </c>
      <c r="C118" t="s">
        <v>16</v>
      </c>
      <c r="D118" t="s">
        <v>26</v>
      </c>
      <c r="E118" t="s">
        <v>36</v>
      </c>
      <c r="F118" t="s">
        <v>317</v>
      </c>
      <c r="G118" t="s">
        <v>182</v>
      </c>
      <c r="H118" t="s">
        <v>164</v>
      </c>
      <c r="I118" t="s">
        <v>182</v>
      </c>
      <c r="J118" t="s">
        <v>182</v>
      </c>
      <c r="K118" t="s">
        <v>182</v>
      </c>
      <c r="L118" t="s">
        <v>182</v>
      </c>
      <c r="M118" t="s">
        <v>183</v>
      </c>
      <c r="N118" t="s">
        <v>182</v>
      </c>
      <c r="O118" t="s">
        <v>182</v>
      </c>
      <c r="P118" t="s">
        <v>182</v>
      </c>
      <c r="Q118" t="s">
        <v>182</v>
      </c>
      <c r="R118" t="s">
        <v>282</v>
      </c>
      <c r="S118" t="s">
        <v>182</v>
      </c>
      <c r="T118" t="s">
        <v>182</v>
      </c>
      <c r="U118" t="s">
        <v>182</v>
      </c>
      <c r="V118" t="s">
        <v>183</v>
      </c>
      <c r="W118" t="s">
        <v>182</v>
      </c>
      <c r="X118" t="s">
        <v>183</v>
      </c>
      <c r="Y118" t="s">
        <v>182</v>
      </c>
      <c r="Z118" t="s">
        <v>182</v>
      </c>
      <c r="AA118" t="s">
        <v>185</v>
      </c>
      <c r="AB118" t="s">
        <v>183</v>
      </c>
      <c r="AC118" t="s">
        <v>182</v>
      </c>
      <c r="AD118" t="s">
        <v>251</v>
      </c>
      <c r="AE118" t="s">
        <v>182</v>
      </c>
    </row>
    <row r="119" spans="1:31" x14ac:dyDescent="0.25">
      <c r="A119" t="s">
        <v>166</v>
      </c>
      <c r="B119">
        <v>0</v>
      </c>
      <c r="C119" t="s">
        <v>16</v>
      </c>
      <c r="D119" t="s">
        <v>26</v>
      </c>
      <c r="E119" t="s">
        <v>36</v>
      </c>
      <c r="F119" t="s">
        <v>318</v>
      </c>
      <c r="G119" t="s">
        <v>182</v>
      </c>
      <c r="H119" t="s">
        <v>164</v>
      </c>
      <c r="I119" t="s">
        <v>182</v>
      </c>
      <c r="J119" t="s">
        <v>182</v>
      </c>
      <c r="K119" t="s">
        <v>182</v>
      </c>
      <c r="L119" t="s">
        <v>182</v>
      </c>
      <c r="M119" t="s">
        <v>183</v>
      </c>
      <c r="N119" t="s">
        <v>182</v>
      </c>
      <c r="O119" t="s">
        <v>182</v>
      </c>
      <c r="P119" t="s">
        <v>182</v>
      </c>
      <c r="Q119" t="s">
        <v>182</v>
      </c>
      <c r="R119" t="s">
        <v>282</v>
      </c>
      <c r="S119" t="s">
        <v>182</v>
      </c>
      <c r="T119" t="s">
        <v>182</v>
      </c>
      <c r="U119" t="s">
        <v>182</v>
      </c>
      <c r="V119" t="s">
        <v>183</v>
      </c>
      <c r="W119" t="s">
        <v>182</v>
      </c>
      <c r="X119" t="s">
        <v>183</v>
      </c>
      <c r="Y119" t="s">
        <v>182</v>
      </c>
      <c r="Z119" t="s">
        <v>182</v>
      </c>
      <c r="AA119" t="s">
        <v>357</v>
      </c>
      <c r="AB119" t="s">
        <v>183</v>
      </c>
      <c r="AC119" t="s">
        <v>182</v>
      </c>
      <c r="AD119" t="s">
        <v>251</v>
      </c>
      <c r="AE119" t="s">
        <v>182</v>
      </c>
    </row>
    <row r="120" spans="1:31" x14ac:dyDescent="0.25">
      <c r="A120" t="s">
        <v>132</v>
      </c>
      <c r="B120">
        <v>1</v>
      </c>
      <c r="C120" t="s">
        <v>7</v>
      </c>
      <c r="D120" t="s">
        <v>21</v>
      </c>
      <c r="E120" t="s">
        <v>28</v>
      </c>
      <c r="F120" t="s">
        <v>319</v>
      </c>
      <c r="G120" t="s">
        <v>182</v>
      </c>
      <c r="H120" t="s">
        <v>20</v>
      </c>
      <c r="I120" t="s">
        <v>182</v>
      </c>
      <c r="J120" t="s">
        <v>182</v>
      </c>
      <c r="K120" t="s">
        <v>182</v>
      </c>
      <c r="L120" t="s">
        <v>182</v>
      </c>
      <c r="M120" t="s">
        <v>182</v>
      </c>
      <c r="N120" t="s">
        <v>182</v>
      </c>
      <c r="O120" t="s">
        <v>183</v>
      </c>
      <c r="P120" t="s">
        <v>182</v>
      </c>
      <c r="Q120" t="s">
        <v>182</v>
      </c>
      <c r="R120" t="s">
        <v>291</v>
      </c>
      <c r="S120" t="s">
        <v>182</v>
      </c>
      <c r="T120" t="s">
        <v>182</v>
      </c>
      <c r="U120" t="s">
        <v>182</v>
      </c>
      <c r="V120" t="s">
        <v>183</v>
      </c>
      <c r="W120" t="s">
        <v>242</v>
      </c>
      <c r="X120" t="s">
        <v>183</v>
      </c>
      <c r="Y120" t="s">
        <v>182</v>
      </c>
      <c r="Z120" t="s">
        <v>182</v>
      </c>
      <c r="AA120" t="s">
        <v>383</v>
      </c>
      <c r="AB120" t="s">
        <v>182</v>
      </c>
      <c r="AC120" t="s">
        <v>182</v>
      </c>
      <c r="AD120" t="s">
        <v>182</v>
      </c>
      <c r="AE120" t="s">
        <v>320</v>
      </c>
    </row>
    <row r="121" spans="1:31" x14ac:dyDescent="0.25">
      <c r="A121" t="s">
        <v>109</v>
      </c>
      <c r="B121">
        <v>1</v>
      </c>
      <c r="C121" t="s">
        <v>12</v>
      </c>
      <c r="D121" t="s">
        <v>5</v>
      </c>
      <c r="E121" t="s">
        <v>31</v>
      </c>
      <c r="F121" t="s">
        <v>320</v>
      </c>
      <c r="G121" t="s">
        <v>321</v>
      </c>
      <c r="H121" t="s">
        <v>164</v>
      </c>
      <c r="I121" t="s">
        <v>182</v>
      </c>
      <c r="J121" t="s">
        <v>182</v>
      </c>
      <c r="K121" t="s">
        <v>182</v>
      </c>
      <c r="L121" t="s">
        <v>182</v>
      </c>
      <c r="M121" t="s">
        <v>357</v>
      </c>
      <c r="N121" t="s">
        <v>182</v>
      </c>
      <c r="O121" t="s">
        <v>182</v>
      </c>
      <c r="P121" t="s">
        <v>246</v>
      </c>
      <c r="Q121" t="s">
        <v>357</v>
      </c>
      <c r="R121" t="s">
        <v>289</v>
      </c>
      <c r="S121" t="s">
        <v>182</v>
      </c>
      <c r="T121" t="s">
        <v>182</v>
      </c>
      <c r="U121" t="s">
        <v>182</v>
      </c>
      <c r="V121" t="s">
        <v>183</v>
      </c>
      <c r="W121" t="s">
        <v>182</v>
      </c>
      <c r="X121" t="s">
        <v>182</v>
      </c>
      <c r="Y121" t="s">
        <v>182</v>
      </c>
      <c r="Z121" t="s">
        <v>182</v>
      </c>
      <c r="AA121" t="s">
        <v>182</v>
      </c>
      <c r="AB121" t="s">
        <v>182</v>
      </c>
      <c r="AC121" t="s">
        <v>182</v>
      </c>
      <c r="AD121" t="s">
        <v>182</v>
      </c>
      <c r="AE121" t="s">
        <v>182</v>
      </c>
    </row>
    <row r="122" spans="1:31" x14ac:dyDescent="0.25">
      <c r="A122" t="s">
        <v>66</v>
      </c>
      <c r="B122">
        <v>1</v>
      </c>
      <c r="C122" t="s">
        <v>12</v>
      </c>
      <c r="D122" t="s">
        <v>5</v>
      </c>
      <c r="E122" t="s">
        <v>31</v>
      </c>
      <c r="F122" t="s">
        <v>321</v>
      </c>
      <c r="G122" t="s">
        <v>322</v>
      </c>
      <c r="H122" t="s">
        <v>164</v>
      </c>
      <c r="I122" t="s">
        <v>182</v>
      </c>
      <c r="J122" t="s">
        <v>182</v>
      </c>
      <c r="K122" t="s">
        <v>182</v>
      </c>
      <c r="L122" t="s">
        <v>182</v>
      </c>
      <c r="M122" t="s">
        <v>360</v>
      </c>
      <c r="N122" t="s">
        <v>182</v>
      </c>
      <c r="O122" t="s">
        <v>182</v>
      </c>
      <c r="P122" t="s">
        <v>246</v>
      </c>
      <c r="Q122" t="s">
        <v>357</v>
      </c>
      <c r="R122" t="s">
        <v>289</v>
      </c>
      <c r="S122" t="s">
        <v>182</v>
      </c>
      <c r="T122" t="s">
        <v>182</v>
      </c>
      <c r="U122" t="s">
        <v>182</v>
      </c>
      <c r="V122" t="s">
        <v>183</v>
      </c>
      <c r="W122" t="s">
        <v>182</v>
      </c>
      <c r="X122" t="s">
        <v>182</v>
      </c>
      <c r="Y122" t="s">
        <v>182</v>
      </c>
      <c r="Z122" t="s">
        <v>182</v>
      </c>
      <c r="AA122" t="s">
        <v>182</v>
      </c>
      <c r="AB122" t="s">
        <v>182</v>
      </c>
      <c r="AC122" t="s">
        <v>182</v>
      </c>
      <c r="AD122" t="s">
        <v>182</v>
      </c>
      <c r="AE122" t="s">
        <v>182</v>
      </c>
    </row>
    <row r="123" spans="1:31" x14ac:dyDescent="0.25">
      <c r="A123" t="s">
        <v>105</v>
      </c>
      <c r="B123">
        <v>1</v>
      </c>
      <c r="C123" t="s">
        <v>12</v>
      </c>
      <c r="D123" t="s">
        <v>5</v>
      </c>
      <c r="E123" t="s">
        <v>31</v>
      </c>
      <c r="F123" t="s">
        <v>322</v>
      </c>
      <c r="G123" t="s">
        <v>182</v>
      </c>
      <c r="H123" t="s">
        <v>164</v>
      </c>
      <c r="I123" t="s">
        <v>182</v>
      </c>
      <c r="J123" t="s">
        <v>182</v>
      </c>
      <c r="K123" t="s">
        <v>182</v>
      </c>
      <c r="L123" t="s">
        <v>182</v>
      </c>
      <c r="M123" t="s">
        <v>360</v>
      </c>
      <c r="N123" t="s">
        <v>182</v>
      </c>
      <c r="O123" t="s">
        <v>182</v>
      </c>
      <c r="P123" t="s">
        <v>246</v>
      </c>
      <c r="Q123" t="s">
        <v>357</v>
      </c>
      <c r="R123" t="s">
        <v>289</v>
      </c>
      <c r="S123" t="s">
        <v>182</v>
      </c>
      <c r="T123" t="s">
        <v>182</v>
      </c>
      <c r="U123" t="s">
        <v>182</v>
      </c>
      <c r="V123" t="s">
        <v>183</v>
      </c>
      <c r="W123" t="s">
        <v>182</v>
      </c>
      <c r="X123" t="s">
        <v>182</v>
      </c>
      <c r="Y123" t="s">
        <v>182</v>
      </c>
      <c r="Z123" t="s">
        <v>182</v>
      </c>
      <c r="AA123" t="s">
        <v>182</v>
      </c>
      <c r="AB123" t="s">
        <v>182</v>
      </c>
      <c r="AC123" t="s">
        <v>182</v>
      </c>
      <c r="AD123" t="s">
        <v>182</v>
      </c>
      <c r="AE123" t="s">
        <v>182</v>
      </c>
    </row>
    <row r="124" spans="1:31" x14ac:dyDescent="0.25">
      <c r="A124" t="s">
        <v>85</v>
      </c>
      <c r="B124">
        <v>30</v>
      </c>
      <c r="C124" t="s">
        <v>7</v>
      </c>
      <c r="D124" t="s">
        <v>16</v>
      </c>
      <c r="E124" t="s">
        <v>36</v>
      </c>
      <c r="F124" t="s">
        <v>323</v>
      </c>
      <c r="G124" t="s">
        <v>182</v>
      </c>
      <c r="H124" t="s">
        <v>164</v>
      </c>
      <c r="I124" t="s">
        <v>182</v>
      </c>
      <c r="J124" t="s">
        <v>182</v>
      </c>
      <c r="K124" t="s">
        <v>182</v>
      </c>
      <c r="L124" t="s">
        <v>182</v>
      </c>
      <c r="M124" t="s">
        <v>183</v>
      </c>
      <c r="N124" t="s">
        <v>183</v>
      </c>
      <c r="O124" t="s">
        <v>182</v>
      </c>
      <c r="P124" t="s">
        <v>182</v>
      </c>
      <c r="Q124" t="s">
        <v>182</v>
      </c>
      <c r="R124" t="s">
        <v>251</v>
      </c>
      <c r="S124" t="s">
        <v>182</v>
      </c>
      <c r="T124" t="s">
        <v>182</v>
      </c>
      <c r="U124" t="s">
        <v>182</v>
      </c>
      <c r="V124" t="s">
        <v>183</v>
      </c>
      <c r="W124" t="s">
        <v>355</v>
      </c>
      <c r="X124" t="s">
        <v>182</v>
      </c>
      <c r="Y124" t="s">
        <v>182</v>
      </c>
      <c r="Z124" t="s">
        <v>182</v>
      </c>
      <c r="AA124" t="s">
        <v>256</v>
      </c>
      <c r="AB124" t="s">
        <v>182</v>
      </c>
      <c r="AC124" t="s">
        <v>182</v>
      </c>
      <c r="AD124" t="s">
        <v>251</v>
      </c>
      <c r="AE124" t="s">
        <v>182</v>
      </c>
    </row>
    <row r="125" spans="1:31" x14ac:dyDescent="0.25">
      <c r="A125" t="s">
        <v>53</v>
      </c>
      <c r="B125">
        <v>30</v>
      </c>
      <c r="C125" t="s">
        <v>7</v>
      </c>
      <c r="D125" t="s">
        <v>16</v>
      </c>
      <c r="E125" t="s">
        <v>36</v>
      </c>
      <c r="F125" t="s">
        <v>324</v>
      </c>
      <c r="G125" t="s">
        <v>182</v>
      </c>
      <c r="H125" t="s">
        <v>164</v>
      </c>
      <c r="I125" t="s">
        <v>182</v>
      </c>
      <c r="J125" t="s">
        <v>182</v>
      </c>
      <c r="K125" t="s">
        <v>182</v>
      </c>
      <c r="L125" t="s">
        <v>182</v>
      </c>
      <c r="M125" t="s">
        <v>183</v>
      </c>
      <c r="N125" t="s">
        <v>183</v>
      </c>
      <c r="O125" t="s">
        <v>182</v>
      </c>
      <c r="P125" t="s">
        <v>182</v>
      </c>
      <c r="Q125" t="s">
        <v>182</v>
      </c>
      <c r="R125" t="s">
        <v>251</v>
      </c>
      <c r="S125" t="s">
        <v>182</v>
      </c>
      <c r="T125" t="s">
        <v>182</v>
      </c>
      <c r="U125" t="s">
        <v>182</v>
      </c>
      <c r="V125" t="s">
        <v>183</v>
      </c>
      <c r="W125" t="s">
        <v>355</v>
      </c>
      <c r="X125" t="s">
        <v>182</v>
      </c>
      <c r="Y125" t="s">
        <v>182</v>
      </c>
      <c r="Z125" t="s">
        <v>182</v>
      </c>
      <c r="AA125" t="s">
        <v>256</v>
      </c>
      <c r="AB125" t="s">
        <v>182</v>
      </c>
      <c r="AC125" t="s">
        <v>182</v>
      </c>
      <c r="AD125" t="s">
        <v>251</v>
      </c>
      <c r="AE125" t="s">
        <v>182</v>
      </c>
    </row>
    <row r="126" spans="1:31" x14ac:dyDescent="0.25">
      <c r="A126" t="s">
        <v>55</v>
      </c>
      <c r="B126">
        <v>0</v>
      </c>
      <c r="C126" t="s">
        <v>6</v>
      </c>
      <c r="D126" t="s">
        <v>20</v>
      </c>
      <c r="E126" t="s">
        <v>20</v>
      </c>
      <c r="F126" t="s">
        <v>325</v>
      </c>
      <c r="G126" t="s">
        <v>182</v>
      </c>
      <c r="H126" t="s">
        <v>164</v>
      </c>
      <c r="I126" t="s">
        <v>182</v>
      </c>
      <c r="J126" t="s">
        <v>182</v>
      </c>
      <c r="K126" t="s">
        <v>182</v>
      </c>
      <c r="L126" t="s">
        <v>182</v>
      </c>
      <c r="M126" t="s">
        <v>182</v>
      </c>
      <c r="N126" t="s">
        <v>182</v>
      </c>
      <c r="O126" t="s">
        <v>182</v>
      </c>
      <c r="P126" t="s">
        <v>182</v>
      </c>
      <c r="Q126" t="s">
        <v>182</v>
      </c>
      <c r="R126" t="s">
        <v>355</v>
      </c>
      <c r="S126" t="s">
        <v>182</v>
      </c>
      <c r="T126" t="s">
        <v>182</v>
      </c>
      <c r="U126" t="s">
        <v>182</v>
      </c>
      <c r="V126" t="s">
        <v>182</v>
      </c>
      <c r="W126" t="s">
        <v>182</v>
      </c>
      <c r="X126" t="s">
        <v>182</v>
      </c>
      <c r="Y126" t="s">
        <v>182</v>
      </c>
      <c r="Z126" t="s">
        <v>182</v>
      </c>
      <c r="AA126" t="s">
        <v>182</v>
      </c>
      <c r="AB126" t="s">
        <v>182</v>
      </c>
      <c r="AC126" t="s">
        <v>182</v>
      </c>
      <c r="AD126" t="s">
        <v>182</v>
      </c>
      <c r="AE126" t="s">
        <v>182</v>
      </c>
    </row>
    <row r="127" spans="1:31" x14ac:dyDescent="0.25">
      <c r="A127" t="s">
        <v>80</v>
      </c>
      <c r="B127">
        <v>0</v>
      </c>
      <c r="C127" t="s">
        <v>6</v>
      </c>
      <c r="D127" t="s">
        <v>20</v>
      </c>
      <c r="E127" t="s">
        <v>20</v>
      </c>
      <c r="F127" t="s">
        <v>326</v>
      </c>
      <c r="G127" t="s">
        <v>182</v>
      </c>
      <c r="H127" t="s">
        <v>164</v>
      </c>
      <c r="I127" t="s">
        <v>182</v>
      </c>
      <c r="J127" t="s">
        <v>182</v>
      </c>
      <c r="K127" t="s">
        <v>182</v>
      </c>
      <c r="L127" t="s">
        <v>182</v>
      </c>
      <c r="M127" t="s">
        <v>182</v>
      </c>
      <c r="N127" t="s">
        <v>182</v>
      </c>
      <c r="O127" t="s">
        <v>182</v>
      </c>
      <c r="P127" t="s">
        <v>182</v>
      </c>
      <c r="Q127" t="s">
        <v>182</v>
      </c>
      <c r="R127" t="s">
        <v>355</v>
      </c>
      <c r="S127" t="s">
        <v>182</v>
      </c>
      <c r="T127" t="s">
        <v>182</v>
      </c>
      <c r="U127" t="s">
        <v>182</v>
      </c>
      <c r="V127" t="s">
        <v>182</v>
      </c>
      <c r="W127" t="s">
        <v>182</v>
      </c>
      <c r="X127" t="s">
        <v>182</v>
      </c>
      <c r="Y127" t="s">
        <v>182</v>
      </c>
      <c r="Z127" t="s">
        <v>182</v>
      </c>
      <c r="AA127" t="s">
        <v>182</v>
      </c>
      <c r="AB127" t="s">
        <v>182</v>
      </c>
      <c r="AC127" t="s">
        <v>182</v>
      </c>
      <c r="AD127" t="s">
        <v>182</v>
      </c>
      <c r="AE127" t="s">
        <v>182</v>
      </c>
    </row>
    <row r="128" spans="1:31" x14ac:dyDescent="0.25">
      <c r="A128" t="s">
        <v>98</v>
      </c>
      <c r="B128">
        <v>0</v>
      </c>
      <c r="C128" t="s">
        <v>6</v>
      </c>
      <c r="D128" t="s">
        <v>20</v>
      </c>
      <c r="E128" t="s">
        <v>20</v>
      </c>
      <c r="F128" t="s">
        <v>327</v>
      </c>
      <c r="G128" t="s">
        <v>182</v>
      </c>
      <c r="H128" t="s">
        <v>164</v>
      </c>
      <c r="I128" t="s">
        <v>182</v>
      </c>
      <c r="J128" t="s">
        <v>182</v>
      </c>
      <c r="K128" t="s">
        <v>182</v>
      </c>
      <c r="L128" t="s">
        <v>182</v>
      </c>
      <c r="M128" t="s">
        <v>182</v>
      </c>
      <c r="N128" t="s">
        <v>182</v>
      </c>
      <c r="O128" t="s">
        <v>182</v>
      </c>
      <c r="P128" t="s">
        <v>182</v>
      </c>
      <c r="Q128" t="s">
        <v>182</v>
      </c>
      <c r="R128" t="s">
        <v>355</v>
      </c>
      <c r="S128" t="s">
        <v>182</v>
      </c>
      <c r="T128" t="s">
        <v>182</v>
      </c>
      <c r="U128" t="s">
        <v>182</v>
      </c>
      <c r="V128" t="s">
        <v>182</v>
      </c>
      <c r="W128" t="s">
        <v>182</v>
      </c>
      <c r="X128" t="s">
        <v>182</v>
      </c>
      <c r="Y128" t="s">
        <v>182</v>
      </c>
      <c r="Z128" t="s">
        <v>182</v>
      </c>
      <c r="AA128" t="s">
        <v>182</v>
      </c>
      <c r="AB128" t="s">
        <v>182</v>
      </c>
      <c r="AC128" t="s">
        <v>182</v>
      </c>
      <c r="AD128" t="s">
        <v>182</v>
      </c>
      <c r="AE128" t="s">
        <v>182</v>
      </c>
    </row>
    <row r="129" spans="1:31" x14ac:dyDescent="0.25">
      <c r="A129" t="s">
        <v>156</v>
      </c>
      <c r="B129">
        <v>0</v>
      </c>
      <c r="C129" t="s">
        <v>6</v>
      </c>
      <c r="D129" t="s">
        <v>20</v>
      </c>
      <c r="E129" t="s">
        <v>20</v>
      </c>
      <c r="F129" t="s">
        <v>328</v>
      </c>
      <c r="G129" t="s">
        <v>182</v>
      </c>
      <c r="H129" t="s">
        <v>164</v>
      </c>
      <c r="I129" t="s">
        <v>182</v>
      </c>
      <c r="J129" t="s">
        <v>182</v>
      </c>
      <c r="K129" t="s">
        <v>182</v>
      </c>
      <c r="L129" t="s">
        <v>182</v>
      </c>
      <c r="M129" t="s">
        <v>182</v>
      </c>
      <c r="N129" t="s">
        <v>182</v>
      </c>
      <c r="O129" t="s">
        <v>182</v>
      </c>
      <c r="P129" t="s">
        <v>182</v>
      </c>
      <c r="Q129" t="s">
        <v>182</v>
      </c>
      <c r="R129" t="s">
        <v>355</v>
      </c>
      <c r="S129" t="s">
        <v>182</v>
      </c>
      <c r="T129" t="s">
        <v>182</v>
      </c>
      <c r="U129" t="s">
        <v>182</v>
      </c>
      <c r="V129" t="s">
        <v>182</v>
      </c>
      <c r="W129" t="s">
        <v>182</v>
      </c>
      <c r="X129" t="s">
        <v>182</v>
      </c>
      <c r="Y129" t="s">
        <v>182</v>
      </c>
      <c r="Z129" t="s">
        <v>182</v>
      </c>
      <c r="AA129" t="s">
        <v>182</v>
      </c>
      <c r="AB129" t="s">
        <v>182</v>
      </c>
      <c r="AC129" t="s">
        <v>182</v>
      </c>
      <c r="AD129" t="s">
        <v>182</v>
      </c>
      <c r="AE129" t="s">
        <v>182</v>
      </c>
    </row>
    <row r="130" spans="1:31" x14ac:dyDescent="0.25">
      <c r="A130" t="s">
        <v>72</v>
      </c>
      <c r="B130">
        <v>0</v>
      </c>
      <c r="C130" t="s">
        <v>6</v>
      </c>
      <c r="D130" t="s">
        <v>20</v>
      </c>
      <c r="E130" t="s">
        <v>20</v>
      </c>
      <c r="F130" t="s">
        <v>329</v>
      </c>
      <c r="G130" t="s">
        <v>182</v>
      </c>
      <c r="H130" t="s">
        <v>164</v>
      </c>
      <c r="I130" t="s">
        <v>182</v>
      </c>
      <c r="J130" t="s">
        <v>182</v>
      </c>
      <c r="K130" t="s">
        <v>182</v>
      </c>
      <c r="L130" t="s">
        <v>182</v>
      </c>
      <c r="M130" t="s">
        <v>182</v>
      </c>
      <c r="N130" t="s">
        <v>182</v>
      </c>
      <c r="O130" t="s">
        <v>182</v>
      </c>
      <c r="P130" t="s">
        <v>182</v>
      </c>
      <c r="Q130" t="s">
        <v>182</v>
      </c>
      <c r="R130" t="s">
        <v>355</v>
      </c>
      <c r="S130" t="s">
        <v>182</v>
      </c>
      <c r="T130" t="s">
        <v>182</v>
      </c>
      <c r="U130" t="s">
        <v>182</v>
      </c>
      <c r="V130" t="s">
        <v>182</v>
      </c>
      <c r="W130" t="s">
        <v>182</v>
      </c>
      <c r="X130" t="s">
        <v>182</v>
      </c>
      <c r="Y130" t="s">
        <v>182</v>
      </c>
      <c r="Z130" t="s">
        <v>182</v>
      </c>
      <c r="AA130" t="s">
        <v>182</v>
      </c>
      <c r="AB130" t="s">
        <v>182</v>
      </c>
      <c r="AC130" t="s">
        <v>182</v>
      </c>
      <c r="AD130" t="s">
        <v>182</v>
      </c>
      <c r="AE130" t="s">
        <v>182</v>
      </c>
    </row>
    <row r="131" spans="1:31" x14ac:dyDescent="0.25">
      <c r="A131" t="s">
        <v>142</v>
      </c>
      <c r="B131">
        <v>0</v>
      </c>
      <c r="C131" t="s">
        <v>6</v>
      </c>
      <c r="D131" t="s">
        <v>20</v>
      </c>
      <c r="E131" t="s">
        <v>20</v>
      </c>
      <c r="F131" t="s">
        <v>330</v>
      </c>
      <c r="G131" t="s">
        <v>182</v>
      </c>
      <c r="H131" t="s">
        <v>164</v>
      </c>
      <c r="I131" t="s">
        <v>182</v>
      </c>
      <c r="J131" t="s">
        <v>182</v>
      </c>
      <c r="K131" t="s">
        <v>182</v>
      </c>
      <c r="L131" t="s">
        <v>182</v>
      </c>
      <c r="M131" t="s">
        <v>182</v>
      </c>
      <c r="N131" t="s">
        <v>182</v>
      </c>
      <c r="O131" t="s">
        <v>182</v>
      </c>
      <c r="P131" t="s">
        <v>182</v>
      </c>
      <c r="Q131" t="s">
        <v>182</v>
      </c>
      <c r="R131" t="s">
        <v>355</v>
      </c>
      <c r="S131" t="s">
        <v>182</v>
      </c>
      <c r="T131" t="s">
        <v>182</v>
      </c>
      <c r="U131" t="s">
        <v>182</v>
      </c>
      <c r="V131" t="s">
        <v>182</v>
      </c>
      <c r="W131" t="s">
        <v>182</v>
      </c>
      <c r="X131" t="s">
        <v>182</v>
      </c>
      <c r="Y131" t="s">
        <v>182</v>
      </c>
      <c r="Z131" t="s">
        <v>182</v>
      </c>
      <c r="AA131" t="s">
        <v>182</v>
      </c>
      <c r="AB131" t="s">
        <v>182</v>
      </c>
      <c r="AC131" t="s">
        <v>182</v>
      </c>
      <c r="AD131" t="s">
        <v>182</v>
      </c>
      <c r="AE131" t="s">
        <v>182</v>
      </c>
    </row>
    <row r="132" spans="1:31" x14ac:dyDescent="0.25">
      <c r="A132" t="s">
        <v>88</v>
      </c>
      <c r="B132">
        <v>0</v>
      </c>
      <c r="C132" t="s">
        <v>6</v>
      </c>
      <c r="D132" t="s">
        <v>20</v>
      </c>
      <c r="E132" t="s">
        <v>20</v>
      </c>
      <c r="F132" t="s">
        <v>331</v>
      </c>
      <c r="G132" t="s">
        <v>182</v>
      </c>
      <c r="H132" t="s">
        <v>164</v>
      </c>
      <c r="I132" t="s">
        <v>182</v>
      </c>
      <c r="J132" t="s">
        <v>182</v>
      </c>
      <c r="K132" t="s">
        <v>182</v>
      </c>
      <c r="L132" t="s">
        <v>182</v>
      </c>
      <c r="M132" t="s">
        <v>182</v>
      </c>
      <c r="N132" t="s">
        <v>182</v>
      </c>
      <c r="O132" t="s">
        <v>182</v>
      </c>
      <c r="P132" t="s">
        <v>182</v>
      </c>
      <c r="Q132" t="s">
        <v>182</v>
      </c>
      <c r="R132" t="s">
        <v>355</v>
      </c>
      <c r="S132" t="s">
        <v>182</v>
      </c>
      <c r="T132" t="s">
        <v>182</v>
      </c>
      <c r="U132" t="s">
        <v>182</v>
      </c>
      <c r="V132" t="s">
        <v>182</v>
      </c>
      <c r="W132" t="s">
        <v>182</v>
      </c>
      <c r="X132" t="s">
        <v>182</v>
      </c>
      <c r="Y132" t="s">
        <v>182</v>
      </c>
      <c r="Z132" t="s">
        <v>182</v>
      </c>
      <c r="AA132" t="s">
        <v>182</v>
      </c>
      <c r="AB132" t="s">
        <v>182</v>
      </c>
      <c r="AC132" t="s">
        <v>182</v>
      </c>
      <c r="AD132" t="s">
        <v>182</v>
      </c>
      <c r="AE132" t="s">
        <v>182</v>
      </c>
    </row>
    <row r="133" spans="1:31" x14ac:dyDescent="0.25">
      <c r="A133" t="s">
        <v>153</v>
      </c>
      <c r="B133">
        <v>0</v>
      </c>
      <c r="C133" t="s">
        <v>6</v>
      </c>
      <c r="D133" t="s">
        <v>20</v>
      </c>
      <c r="E133" t="s">
        <v>20</v>
      </c>
      <c r="F133" t="s">
        <v>332</v>
      </c>
      <c r="G133" t="s">
        <v>182</v>
      </c>
      <c r="H133" t="s">
        <v>164</v>
      </c>
      <c r="I133" t="s">
        <v>182</v>
      </c>
      <c r="J133" t="s">
        <v>182</v>
      </c>
      <c r="K133" t="s">
        <v>182</v>
      </c>
      <c r="L133" t="s">
        <v>182</v>
      </c>
      <c r="M133" t="s">
        <v>182</v>
      </c>
      <c r="N133" t="s">
        <v>182</v>
      </c>
      <c r="O133" t="s">
        <v>182</v>
      </c>
      <c r="P133" t="s">
        <v>182</v>
      </c>
      <c r="Q133" t="s">
        <v>182</v>
      </c>
      <c r="R133" t="s">
        <v>355</v>
      </c>
      <c r="S133" t="s">
        <v>182</v>
      </c>
      <c r="T133" t="s">
        <v>182</v>
      </c>
      <c r="U133" t="s">
        <v>182</v>
      </c>
      <c r="V133" t="s">
        <v>182</v>
      </c>
      <c r="W133" t="s">
        <v>182</v>
      </c>
      <c r="X133" t="s">
        <v>182</v>
      </c>
      <c r="Y133" t="s">
        <v>182</v>
      </c>
      <c r="Z133" t="s">
        <v>182</v>
      </c>
      <c r="AA133" t="s">
        <v>182</v>
      </c>
      <c r="AB133" t="s">
        <v>182</v>
      </c>
      <c r="AC133" t="s">
        <v>182</v>
      </c>
      <c r="AD133" t="s">
        <v>182</v>
      </c>
      <c r="AE133" t="s">
        <v>182</v>
      </c>
    </row>
    <row r="134" spans="1:31" x14ac:dyDescent="0.25">
      <c r="A134" t="s">
        <v>135</v>
      </c>
      <c r="B134">
        <v>24</v>
      </c>
      <c r="C134" t="s">
        <v>7</v>
      </c>
      <c r="D134" t="s">
        <v>21</v>
      </c>
      <c r="E134" t="s">
        <v>34</v>
      </c>
      <c r="F134" t="s">
        <v>333</v>
      </c>
      <c r="G134" t="s">
        <v>182</v>
      </c>
      <c r="H134" t="s">
        <v>244</v>
      </c>
      <c r="I134" t="s">
        <v>198</v>
      </c>
      <c r="J134" t="s">
        <v>259</v>
      </c>
      <c r="K134" t="s">
        <v>182</v>
      </c>
      <c r="L134" t="s">
        <v>182</v>
      </c>
      <c r="M134" t="s">
        <v>182</v>
      </c>
      <c r="N134" t="s">
        <v>183</v>
      </c>
      <c r="O134" t="s">
        <v>182</v>
      </c>
      <c r="P134" t="s">
        <v>182</v>
      </c>
      <c r="Q134" t="s">
        <v>182</v>
      </c>
      <c r="R134" t="s">
        <v>182</v>
      </c>
      <c r="S134" t="s">
        <v>182</v>
      </c>
      <c r="T134" t="s">
        <v>182</v>
      </c>
      <c r="U134" t="s">
        <v>182</v>
      </c>
      <c r="V134" t="s">
        <v>183</v>
      </c>
      <c r="W134" t="s">
        <v>182</v>
      </c>
      <c r="X134" t="s">
        <v>182</v>
      </c>
      <c r="Y134" t="s">
        <v>182</v>
      </c>
      <c r="Z134" t="s">
        <v>182</v>
      </c>
      <c r="AA134" t="s">
        <v>183</v>
      </c>
      <c r="AB134" t="s">
        <v>182</v>
      </c>
      <c r="AC134" t="s">
        <v>182</v>
      </c>
      <c r="AD134" t="s">
        <v>182</v>
      </c>
      <c r="AE134" t="s">
        <v>182</v>
      </c>
    </row>
    <row r="135" spans="1:31" x14ac:dyDescent="0.25">
      <c r="A135" t="s">
        <v>157</v>
      </c>
      <c r="B135">
        <v>120</v>
      </c>
      <c r="C135" t="s">
        <v>6</v>
      </c>
      <c r="D135" t="s">
        <v>5</v>
      </c>
      <c r="E135" t="s">
        <v>28</v>
      </c>
      <c r="F135" t="s">
        <v>334</v>
      </c>
      <c r="G135" t="s">
        <v>182</v>
      </c>
      <c r="H135" t="s">
        <v>164</v>
      </c>
      <c r="I135" t="s">
        <v>335</v>
      </c>
      <c r="J135" t="s">
        <v>335</v>
      </c>
      <c r="K135" t="s">
        <v>182</v>
      </c>
      <c r="L135" t="s">
        <v>182</v>
      </c>
      <c r="M135" t="s">
        <v>183</v>
      </c>
      <c r="N135" t="s">
        <v>183</v>
      </c>
      <c r="O135" t="s">
        <v>182</v>
      </c>
      <c r="P135" t="s">
        <v>182</v>
      </c>
      <c r="Q135" t="s">
        <v>182</v>
      </c>
      <c r="R135" t="s">
        <v>251</v>
      </c>
      <c r="S135" t="s">
        <v>182</v>
      </c>
      <c r="T135" t="s">
        <v>182</v>
      </c>
      <c r="U135" t="s">
        <v>182</v>
      </c>
      <c r="V135" t="s">
        <v>183</v>
      </c>
      <c r="W135" t="s">
        <v>182</v>
      </c>
      <c r="X135" t="s">
        <v>182</v>
      </c>
      <c r="Y135" t="s">
        <v>182</v>
      </c>
      <c r="Z135" t="s">
        <v>182</v>
      </c>
      <c r="AA135" t="s">
        <v>374</v>
      </c>
      <c r="AB135" t="s">
        <v>182</v>
      </c>
      <c r="AC135" t="s">
        <v>182</v>
      </c>
      <c r="AD135" t="s">
        <v>251</v>
      </c>
      <c r="AE135" t="s">
        <v>182</v>
      </c>
    </row>
    <row r="136" spans="1:31" x14ac:dyDescent="0.25">
      <c r="A136" t="s">
        <v>110</v>
      </c>
      <c r="B136">
        <v>200</v>
      </c>
      <c r="C136" t="s">
        <v>6</v>
      </c>
      <c r="D136" t="s">
        <v>5</v>
      </c>
      <c r="E136" t="s">
        <v>28</v>
      </c>
      <c r="F136" t="s">
        <v>336</v>
      </c>
      <c r="G136" t="s">
        <v>182</v>
      </c>
      <c r="H136" t="s">
        <v>164</v>
      </c>
      <c r="I136" t="s">
        <v>337</v>
      </c>
      <c r="J136" t="s">
        <v>337</v>
      </c>
      <c r="K136" t="s">
        <v>182</v>
      </c>
      <c r="L136" t="s">
        <v>182</v>
      </c>
      <c r="M136" t="s">
        <v>183</v>
      </c>
      <c r="N136" t="s">
        <v>183</v>
      </c>
      <c r="O136" t="s">
        <v>182</v>
      </c>
      <c r="P136" t="s">
        <v>182</v>
      </c>
      <c r="Q136" t="s">
        <v>182</v>
      </c>
      <c r="R136" t="s">
        <v>251</v>
      </c>
      <c r="S136" t="s">
        <v>182</v>
      </c>
      <c r="T136" t="s">
        <v>182</v>
      </c>
      <c r="U136" t="s">
        <v>182</v>
      </c>
      <c r="V136" t="s">
        <v>183</v>
      </c>
      <c r="W136" t="s">
        <v>182</v>
      </c>
      <c r="X136" t="s">
        <v>182</v>
      </c>
      <c r="Y136" t="s">
        <v>182</v>
      </c>
      <c r="Z136" t="s">
        <v>182</v>
      </c>
      <c r="AA136" t="s">
        <v>262</v>
      </c>
      <c r="AB136" t="s">
        <v>182</v>
      </c>
      <c r="AC136" t="s">
        <v>182</v>
      </c>
      <c r="AD136" t="s">
        <v>251</v>
      </c>
      <c r="AE136" t="s">
        <v>182</v>
      </c>
    </row>
    <row r="137" spans="1:31" x14ac:dyDescent="0.25">
      <c r="A137" t="s">
        <v>69</v>
      </c>
      <c r="B137">
        <v>0</v>
      </c>
      <c r="C137" t="s">
        <v>6</v>
      </c>
      <c r="D137" t="s">
        <v>16</v>
      </c>
      <c r="E137" t="s">
        <v>16</v>
      </c>
      <c r="F137" t="s">
        <v>338</v>
      </c>
      <c r="G137" t="s">
        <v>182</v>
      </c>
      <c r="H137" t="s">
        <v>164</v>
      </c>
      <c r="I137" t="s">
        <v>182</v>
      </c>
      <c r="J137" t="s">
        <v>182</v>
      </c>
      <c r="K137" t="s">
        <v>182</v>
      </c>
      <c r="L137" t="s">
        <v>182</v>
      </c>
      <c r="M137" t="s">
        <v>182</v>
      </c>
      <c r="N137" t="s">
        <v>182</v>
      </c>
      <c r="O137" t="s">
        <v>182</v>
      </c>
      <c r="P137" t="s">
        <v>182</v>
      </c>
      <c r="Q137" t="s">
        <v>182</v>
      </c>
      <c r="R137" t="s">
        <v>182</v>
      </c>
      <c r="S137" t="s">
        <v>182</v>
      </c>
      <c r="T137" t="s">
        <v>182</v>
      </c>
      <c r="U137" t="s">
        <v>182</v>
      </c>
      <c r="V137" t="s">
        <v>182</v>
      </c>
      <c r="W137" t="s">
        <v>182</v>
      </c>
      <c r="X137" t="s">
        <v>182</v>
      </c>
      <c r="Y137" t="s">
        <v>182</v>
      </c>
      <c r="Z137" t="s">
        <v>182</v>
      </c>
      <c r="AA137" t="s">
        <v>182</v>
      </c>
      <c r="AB137" t="s">
        <v>182</v>
      </c>
      <c r="AC137" t="s">
        <v>182</v>
      </c>
      <c r="AD137" t="s">
        <v>182</v>
      </c>
      <c r="AE137" t="s">
        <v>182</v>
      </c>
    </row>
  </sheetData>
  <phoneticPr fontId="1" type="noConversion"/>
  <dataValidations count="3">
    <dataValidation type="list" allowBlank="1" showInputMessage="1" showErrorMessage="1" sqref="C138:C1048576 C2:C136" xr:uid="{5F042A92-D5A5-4AEE-A97E-47F34F2400A7}">
      <formula1>"weapFireType_t"</formula1>
    </dataValidation>
    <dataValidation type="whole" operator="greaterThanOrEqual" allowBlank="1" showInputMessage="1" showErrorMessage="1" sqref="I2:AE137 I138:AG1048576 G2:G1048576" xr:uid="{118FFB4F-6F6A-4194-8C5D-D997039CB1E4}">
      <formula1>0</formula1>
    </dataValidation>
    <dataValidation type="whole" operator="greaterThan" sqref="B2:B1048576" xr:uid="{4CC2B6FD-521F-49AD-AAD4-EBBEF9984543}">
      <formula1>0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3B8D1-E30A-49BE-9D7B-2185245CC2D3}">
          <x14:formula1>
            <xm:f>conf!$D$2:$D$12</xm:f>
          </x14:formula1>
          <xm:sqref>H2:H1048576</xm:sqref>
        </x14:dataValidation>
        <x14:dataValidation type="list" allowBlank="1" showInputMessage="1" showErrorMessage="1" xr:uid="{1808024F-FEF5-418E-B692-AAC478CB218E}">
          <x14:formula1>
            <xm:f>conf!A2:A14</xm:f>
          </x14:formula1>
          <xm:sqref>C137</xm:sqref>
        </x14:dataValidation>
        <x14:dataValidation type="list" allowBlank="1" xr:uid="{0381AD70-6B2A-4DBE-A331-74108D9FFE30}">
          <x14:formula1>
            <xm:f>conf!B1048259:B1048267</xm:f>
          </x14:formula1>
          <xm:sqref>D137:F1048576</xm:sqref>
        </x14:dataValidation>
        <x14:dataValidation type="list" allowBlank="1" xr:uid="{E0422253-CF0E-4C91-9BBB-A28AD24D664B}">
          <x14:formula1>
            <xm:f>conf!B3:B11</xm:f>
          </x14:formula1>
          <xm:sqref>D2:F136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B857A-D0DC-4E73-816F-93FEAAE2BE43}">
  <sheetPr codeName="Sheet3"/>
  <dimension ref="A1:K138"/>
  <sheetViews>
    <sheetView workbookViewId="0">
      <selection activeCell="E7" sqref="E7"/>
    </sheetView>
  </sheetViews>
  <sheetFormatPr defaultRowHeight="15" x14ac:dyDescent="0.25"/>
  <cols>
    <col min="1" max="1" width="37.5703125" customWidth="1"/>
    <col min="2" max="2" width="11.140625" customWidth="1"/>
    <col min="3" max="3" width="10.42578125" customWidth="1"/>
    <col min="4" max="4" width="9.7109375" customWidth="1"/>
    <col min="5" max="5" width="8.85546875" customWidth="1"/>
    <col min="6" max="6" width="9.140625" customWidth="1"/>
    <col min="8" max="8" width="9.7109375" customWidth="1"/>
    <col min="9" max="9" width="14.42578125" customWidth="1"/>
    <col min="10" max="10" width="10.42578125" customWidth="1"/>
    <col min="11" max="11" width="10.140625" customWidth="1"/>
  </cols>
  <sheetData>
    <row r="1" spans="1:11" s="1" customFormat="1" ht="28.5" customHeight="1" thickBot="1" x14ac:dyDescent="0.3"/>
    <row r="2" spans="1:11" s="2" customFormat="1" ht="16.5" thickTop="1" thickBot="1" x14ac:dyDescent="0.3">
      <c r="A2" s="2" t="s">
        <v>0</v>
      </c>
      <c r="B2" s="2" t="s">
        <v>414</v>
      </c>
      <c r="C2" s="2" t="s">
        <v>415</v>
      </c>
      <c r="D2" s="2" t="s">
        <v>407</v>
      </c>
      <c r="E2" s="2" t="s">
        <v>408</v>
      </c>
      <c r="F2" s="2" t="s">
        <v>409</v>
      </c>
      <c r="G2" s="2" t="s">
        <v>410</v>
      </c>
      <c r="H2" s="2" t="s">
        <v>403</v>
      </c>
      <c r="I2" s="2" t="s">
        <v>404</v>
      </c>
      <c r="J2" s="2" t="s">
        <v>405</v>
      </c>
      <c r="K2" s="2" t="s">
        <v>406</v>
      </c>
    </row>
    <row r="3" spans="1:11" ht="15.75" thickTop="1" x14ac:dyDescent="0.25">
      <c r="A3" t="s">
        <v>164</v>
      </c>
      <c r="B3">
        <v>0</v>
      </c>
      <c r="C3">
        <v>0</v>
      </c>
      <c r="K3" t="s">
        <v>413</v>
      </c>
    </row>
    <row r="4" spans="1:11" x14ac:dyDescent="0.25">
      <c r="A4" t="s">
        <v>74</v>
      </c>
      <c r="B4">
        <v>0</v>
      </c>
      <c r="C4">
        <v>0</v>
      </c>
      <c r="K4" t="s">
        <v>413</v>
      </c>
    </row>
    <row r="5" spans="1:11" x14ac:dyDescent="0.25">
      <c r="A5" t="s">
        <v>138</v>
      </c>
      <c r="B5">
        <v>100</v>
      </c>
      <c r="C5">
        <v>100</v>
      </c>
      <c r="D5">
        <v>1</v>
      </c>
      <c r="E5">
        <v>1</v>
      </c>
      <c r="F5">
        <v>1</v>
      </c>
      <c r="G5">
        <v>1</v>
      </c>
      <c r="H5" t="s">
        <v>164</v>
      </c>
      <c r="I5" t="s">
        <v>418</v>
      </c>
      <c r="J5" t="s">
        <v>413</v>
      </c>
      <c r="K5" t="s">
        <v>411</v>
      </c>
    </row>
    <row r="6" spans="1:11" x14ac:dyDescent="0.25">
      <c r="A6" t="s">
        <v>172</v>
      </c>
      <c r="B6">
        <v>95</v>
      </c>
      <c r="C6">
        <v>95</v>
      </c>
      <c r="D6">
        <v>1</v>
      </c>
      <c r="E6">
        <v>1</v>
      </c>
      <c r="F6">
        <v>1</v>
      </c>
      <c r="G6">
        <v>1</v>
      </c>
      <c r="H6" t="s">
        <v>164</v>
      </c>
      <c r="I6" t="s">
        <v>418</v>
      </c>
      <c r="J6" t="s">
        <v>413</v>
      </c>
      <c r="K6" t="s">
        <v>411</v>
      </c>
    </row>
    <row r="7" spans="1:11" x14ac:dyDescent="0.25">
      <c r="A7" t="s">
        <v>113</v>
      </c>
      <c r="B7">
        <v>150</v>
      </c>
      <c r="C7">
        <v>150</v>
      </c>
      <c r="D7">
        <v>1</v>
      </c>
      <c r="E7">
        <v>1</v>
      </c>
      <c r="F7">
        <v>1</v>
      </c>
      <c r="G7">
        <v>1</v>
      </c>
      <c r="H7" t="s">
        <v>164</v>
      </c>
      <c r="I7" t="s">
        <v>418</v>
      </c>
      <c r="J7" t="s">
        <v>413</v>
      </c>
      <c r="K7" t="s">
        <v>411</v>
      </c>
    </row>
    <row r="8" spans="1:11" x14ac:dyDescent="0.25">
      <c r="A8" t="s">
        <v>45</v>
      </c>
      <c r="B8">
        <v>110</v>
      </c>
      <c r="C8">
        <v>110</v>
      </c>
      <c r="D8">
        <v>1</v>
      </c>
      <c r="E8">
        <v>1</v>
      </c>
      <c r="F8">
        <v>1</v>
      </c>
      <c r="G8">
        <v>1</v>
      </c>
      <c r="H8" t="s">
        <v>164</v>
      </c>
      <c r="I8" t="s">
        <v>418</v>
      </c>
      <c r="J8" t="s">
        <v>413</v>
      </c>
      <c r="K8" t="s">
        <v>411</v>
      </c>
    </row>
    <row r="9" spans="1:11" x14ac:dyDescent="0.25">
      <c r="A9" t="s">
        <v>149</v>
      </c>
      <c r="B9">
        <v>80</v>
      </c>
      <c r="C9">
        <v>80</v>
      </c>
      <c r="D9">
        <v>1</v>
      </c>
      <c r="E9">
        <v>1</v>
      </c>
      <c r="F9">
        <v>1</v>
      </c>
      <c r="G9">
        <v>1</v>
      </c>
      <c r="H9" t="s">
        <v>164</v>
      </c>
      <c r="I9" t="s">
        <v>418</v>
      </c>
      <c r="J9" t="s">
        <v>413</v>
      </c>
      <c r="K9" t="s">
        <v>411</v>
      </c>
    </row>
    <row r="10" spans="1:11" x14ac:dyDescent="0.25">
      <c r="A10" t="s">
        <v>90</v>
      </c>
      <c r="B10">
        <v>90</v>
      </c>
      <c r="C10">
        <v>90</v>
      </c>
      <c r="D10">
        <v>1</v>
      </c>
      <c r="E10">
        <v>1</v>
      </c>
      <c r="F10">
        <v>1</v>
      </c>
      <c r="G10">
        <v>1</v>
      </c>
      <c r="H10" t="s">
        <v>164</v>
      </c>
      <c r="I10" t="s">
        <v>418</v>
      </c>
      <c r="J10" t="s">
        <v>413</v>
      </c>
      <c r="K10" t="s">
        <v>411</v>
      </c>
    </row>
    <row r="11" spans="1:11" x14ac:dyDescent="0.25">
      <c r="A11" t="s">
        <v>169</v>
      </c>
      <c r="B11">
        <v>150</v>
      </c>
      <c r="C11">
        <v>150</v>
      </c>
      <c r="D11">
        <v>1</v>
      </c>
      <c r="E11">
        <v>1</v>
      </c>
      <c r="F11">
        <v>1</v>
      </c>
      <c r="G11">
        <v>1</v>
      </c>
      <c r="H11" t="s">
        <v>164</v>
      </c>
      <c r="I11" t="s">
        <v>418</v>
      </c>
      <c r="J11" t="s">
        <v>413</v>
      </c>
      <c r="K11" t="s">
        <v>411</v>
      </c>
    </row>
    <row r="12" spans="1:11" x14ac:dyDescent="0.25">
      <c r="A12" t="s">
        <v>42</v>
      </c>
      <c r="B12">
        <v>150</v>
      </c>
      <c r="C12">
        <v>150</v>
      </c>
      <c r="D12">
        <v>1</v>
      </c>
      <c r="E12">
        <v>1</v>
      </c>
      <c r="F12">
        <v>1</v>
      </c>
      <c r="G12">
        <v>1</v>
      </c>
      <c r="H12" t="s">
        <v>164</v>
      </c>
      <c r="I12" t="s">
        <v>418</v>
      </c>
      <c r="J12" t="s">
        <v>411</v>
      </c>
      <c r="K12" t="s">
        <v>411</v>
      </c>
    </row>
    <row r="13" spans="1:11" x14ac:dyDescent="0.25">
      <c r="A13" t="s">
        <v>84</v>
      </c>
      <c r="B13">
        <v>150</v>
      </c>
      <c r="C13">
        <v>150</v>
      </c>
      <c r="D13">
        <v>1</v>
      </c>
      <c r="E13">
        <v>1</v>
      </c>
      <c r="F13">
        <v>1</v>
      </c>
      <c r="G13">
        <v>1</v>
      </c>
      <c r="H13" t="s">
        <v>164</v>
      </c>
      <c r="I13" t="s">
        <v>418</v>
      </c>
      <c r="J13" t="s">
        <v>411</v>
      </c>
      <c r="K13" t="s">
        <v>411</v>
      </c>
    </row>
    <row r="14" spans="1:11" x14ac:dyDescent="0.25">
      <c r="A14" t="s">
        <v>161</v>
      </c>
      <c r="B14">
        <v>140</v>
      </c>
      <c r="C14">
        <v>140</v>
      </c>
      <c r="D14">
        <v>1</v>
      </c>
      <c r="E14">
        <v>1</v>
      </c>
      <c r="F14">
        <v>1</v>
      </c>
      <c r="G14">
        <v>1</v>
      </c>
      <c r="H14" t="s">
        <v>164</v>
      </c>
      <c r="I14" t="s">
        <v>418</v>
      </c>
      <c r="J14" t="s">
        <v>411</v>
      </c>
      <c r="K14" t="s">
        <v>411</v>
      </c>
    </row>
    <row r="15" spans="1:11" x14ac:dyDescent="0.25">
      <c r="A15" t="s">
        <v>54</v>
      </c>
      <c r="B15">
        <v>190</v>
      </c>
      <c r="C15">
        <v>190</v>
      </c>
      <c r="D15">
        <v>1</v>
      </c>
      <c r="E15">
        <v>1</v>
      </c>
      <c r="F15">
        <v>1</v>
      </c>
      <c r="G15">
        <v>1</v>
      </c>
      <c r="H15" t="s">
        <v>164</v>
      </c>
      <c r="I15" t="s">
        <v>418</v>
      </c>
      <c r="J15" t="s">
        <v>411</v>
      </c>
      <c r="K15" t="s">
        <v>411</v>
      </c>
    </row>
    <row r="16" spans="1:11" x14ac:dyDescent="0.25">
      <c r="A16" t="s">
        <v>176</v>
      </c>
      <c r="B16">
        <v>140</v>
      </c>
      <c r="C16">
        <v>140</v>
      </c>
      <c r="D16">
        <v>1</v>
      </c>
      <c r="E16">
        <v>1</v>
      </c>
      <c r="F16">
        <v>1</v>
      </c>
      <c r="G16">
        <v>1</v>
      </c>
      <c r="H16" t="s">
        <v>164</v>
      </c>
      <c r="I16" t="s">
        <v>418</v>
      </c>
      <c r="J16" t="s">
        <v>411</v>
      </c>
      <c r="K16" t="s">
        <v>411</v>
      </c>
    </row>
    <row r="17" spans="1:11" x14ac:dyDescent="0.25">
      <c r="A17" t="s">
        <v>101</v>
      </c>
      <c r="B17">
        <v>175</v>
      </c>
      <c r="C17">
        <v>175</v>
      </c>
      <c r="D17">
        <v>1</v>
      </c>
      <c r="E17">
        <v>1</v>
      </c>
      <c r="F17">
        <v>1</v>
      </c>
      <c r="G17">
        <v>1</v>
      </c>
      <c r="H17" t="s">
        <v>164</v>
      </c>
      <c r="I17" t="s">
        <v>418</v>
      </c>
      <c r="J17" t="s">
        <v>411</v>
      </c>
      <c r="K17" t="s">
        <v>411</v>
      </c>
    </row>
    <row r="18" spans="1:11" x14ac:dyDescent="0.25">
      <c r="A18" t="s">
        <v>139</v>
      </c>
      <c r="B18">
        <v>190</v>
      </c>
      <c r="C18">
        <v>190</v>
      </c>
      <c r="D18">
        <v>1</v>
      </c>
      <c r="E18">
        <v>1</v>
      </c>
      <c r="F18">
        <v>1</v>
      </c>
      <c r="G18">
        <v>1</v>
      </c>
      <c r="H18" t="s">
        <v>164</v>
      </c>
      <c r="I18" t="s">
        <v>418</v>
      </c>
      <c r="J18" t="s">
        <v>411</v>
      </c>
      <c r="K18" t="s">
        <v>411</v>
      </c>
    </row>
    <row r="19" spans="1:11" x14ac:dyDescent="0.25">
      <c r="A19" t="s">
        <v>46</v>
      </c>
      <c r="B19">
        <v>150</v>
      </c>
      <c r="C19">
        <v>150</v>
      </c>
      <c r="D19">
        <v>1</v>
      </c>
      <c r="E19">
        <v>1</v>
      </c>
      <c r="F19">
        <v>1</v>
      </c>
      <c r="G19">
        <v>1</v>
      </c>
      <c r="H19" t="s">
        <v>164</v>
      </c>
      <c r="I19" t="s">
        <v>418</v>
      </c>
      <c r="J19" t="s">
        <v>413</v>
      </c>
      <c r="K19" t="s">
        <v>411</v>
      </c>
    </row>
    <row r="20" spans="1:11" x14ac:dyDescent="0.25">
      <c r="A20" t="s">
        <v>118</v>
      </c>
      <c r="B20">
        <v>120</v>
      </c>
      <c r="C20">
        <v>120</v>
      </c>
      <c r="D20">
        <v>1</v>
      </c>
      <c r="E20">
        <v>1</v>
      </c>
      <c r="F20">
        <v>1</v>
      </c>
      <c r="G20">
        <v>1</v>
      </c>
      <c r="H20" t="s">
        <v>164</v>
      </c>
      <c r="I20" t="s">
        <v>418</v>
      </c>
      <c r="J20" t="s">
        <v>413</v>
      </c>
      <c r="K20" t="s">
        <v>411</v>
      </c>
    </row>
    <row r="21" spans="1:11" x14ac:dyDescent="0.25">
      <c r="A21" t="s">
        <v>51</v>
      </c>
      <c r="B21">
        <v>120</v>
      </c>
      <c r="C21">
        <v>120</v>
      </c>
      <c r="D21">
        <v>1</v>
      </c>
      <c r="E21">
        <v>1</v>
      </c>
      <c r="F21">
        <v>1</v>
      </c>
      <c r="G21">
        <v>1</v>
      </c>
      <c r="H21" t="s">
        <v>164</v>
      </c>
      <c r="I21" t="s">
        <v>418</v>
      </c>
      <c r="J21" t="s">
        <v>413</v>
      </c>
      <c r="K21" t="s">
        <v>411</v>
      </c>
    </row>
    <row r="22" spans="1:11" x14ac:dyDescent="0.25">
      <c r="A22" t="s">
        <v>117</v>
      </c>
      <c r="B22">
        <v>100</v>
      </c>
      <c r="C22">
        <v>100</v>
      </c>
      <c r="D22">
        <v>1</v>
      </c>
      <c r="E22">
        <v>1</v>
      </c>
      <c r="F22">
        <v>1</v>
      </c>
      <c r="G22">
        <v>1</v>
      </c>
      <c r="H22" t="s">
        <v>164</v>
      </c>
      <c r="I22" t="s">
        <v>418</v>
      </c>
      <c r="J22" t="s">
        <v>413</v>
      </c>
      <c r="K22" t="s">
        <v>411</v>
      </c>
    </row>
    <row r="23" spans="1:11" x14ac:dyDescent="0.25">
      <c r="A23" t="s">
        <v>144</v>
      </c>
      <c r="B23">
        <v>110</v>
      </c>
      <c r="C23">
        <v>110</v>
      </c>
      <c r="D23">
        <v>1</v>
      </c>
      <c r="E23">
        <v>1</v>
      </c>
      <c r="F23">
        <v>1</v>
      </c>
      <c r="G23">
        <v>1</v>
      </c>
      <c r="H23" t="s">
        <v>164</v>
      </c>
      <c r="I23" t="s">
        <v>418</v>
      </c>
      <c r="J23" t="s">
        <v>413</v>
      </c>
      <c r="K23" t="s">
        <v>411</v>
      </c>
    </row>
    <row r="24" spans="1:11" x14ac:dyDescent="0.25">
      <c r="A24" t="s">
        <v>75</v>
      </c>
      <c r="B24">
        <v>210</v>
      </c>
      <c r="C24">
        <v>210</v>
      </c>
      <c r="D24">
        <v>1</v>
      </c>
      <c r="E24">
        <v>1</v>
      </c>
      <c r="F24">
        <v>1</v>
      </c>
      <c r="G24">
        <v>1</v>
      </c>
      <c r="H24" t="s">
        <v>164</v>
      </c>
      <c r="I24" t="s">
        <v>418</v>
      </c>
      <c r="J24" t="s">
        <v>413</v>
      </c>
      <c r="K24" t="s">
        <v>411</v>
      </c>
    </row>
    <row r="25" spans="1:11" x14ac:dyDescent="0.25">
      <c r="A25" t="s">
        <v>145</v>
      </c>
      <c r="B25">
        <v>200</v>
      </c>
      <c r="C25">
        <v>200</v>
      </c>
      <c r="D25">
        <v>1</v>
      </c>
      <c r="E25">
        <v>1</v>
      </c>
      <c r="F25">
        <v>1</v>
      </c>
      <c r="G25">
        <v>1</v>
      </c>
      <c r="H25" t="s">
        <v>164</v>
      </c>
      <c r="I25" t="s">
        <v>418</v>
      </c>
      <c r="J25" t="s">
        <v>411</v>
      </c>
      <c r="K25" t="s">
        <v>411</v>
      </c>
    </row>
    <row r="26" spans="1:11" x14ac:dyDescent="0.25">
      <c r="A26" t="s">
        <v>127</v>
      </c>
      <c r="B26">
        <v>200</v>
      </c>
      <c r="C26">
        <v>200</v>
      </c>
      <c r="D26">
        <v>1</v>
      </c>
      <c r="E26">
        <v>1</v>
      </c>
      <c r="F26">
        <v>1</v>
      </c>
      <c r="G26">
        <v>1</v>
      </c>
      <c r="H26" t="s">
        <v>164</v>
      </c>
      <c r="I26" t="s">
        <v>418</v>
      </c>
      <c r="J26" t="s">
        <v>411</v>
      </c>
      <c r="K26" t="s">
        <v>411</v>
      </c>
    </row>
    <row r="27" spans="1:11" x14ac:dyDescent="0.25">
      <c r="A27" t="s">
        <v>151</v>
      </c>
      <c r="B27">
        <v>175</v>
      </c>
      <c r="C27">
        <v>175</v>
      </c>
      <c r="D27">
        <v>1</v>
      </c>
      <c r="E27">
        <v>1</v>
      </c>
      <c r="F27">
        <v>1</v>
      </c>
      <c r="G27">
        <v>1</v>
      </c>
      <c r="H27" t="s">
        <v>164</v>
      </c>
      <c r="I27" t="s">
        <v>418</v>
      </c>
      <c r="J27" t="s">
        <v>411</v>
      </c>
      <c r="K27" t="s">
        <v>411</v>
      </c>
    </row>
    <row r="28" spans="1:11" x14ac:dyDescent="0.25">
      <c r="A28" t="s">
        <v>99</v>
      </c>
      <c r="B28">
        <v>300</v>
      </c>
      <c r="C28">
        <v>300</v>
      </c>
      <c r="D28">
        <v>1</v>
      </c>
      <c r="E28">
        <v>1</v>
      </c>
      <c r="F28">
        <v>1</v>
      </c>
      <c r="G28">
        <v>1</v>
      </c>
      <c r="H28" t="s">
        <v>164</v>
      </c>
      <c r="I28" t="s">
        <v>418</v>
      </c>
      <c r="J28" t="s">
        <v>411</v>
      </c>
      <c r="K28" t="s">
        <v>411</v>
      </c>
    </row>
    <row r="29" spans="1:11" x14ac:dyDescent="0.25">
      <c r="A29" t="s">
        <v>63</v>
      </c>
      <c r="B29">
        <v>160</v>
      </c>
      <c r="C29">
        <v>160</v>
      </c>
      <c r="D29">
        <v>1</v>
      </c>
      <c r="E29">
        <v>1</v>
      </c>
      <c r="F29">
        <v>1</v>
      </c>
      <c r="G29">
        <v>1</v>
      </c>
      <c r="H29" t="s">
        <v>164</v>
      </c>
      <c r="I29" t="s">
        <v>418</v>
      </c>
      <c r="J29" t="s">
        <v>411</v>
      </c>
      <c r="K29" t="s">
        <v>411</v>
      </c>
    </row>
    <row r="30" spans="1:11" x14ac:dyDescent="0.25">
      <c r="A30" t="s">
        <v>94</v>
      </c>
      <c r="B30">
        <v>180</v>
      </c>
      <c r="C30">
        <v>180</v>
      </c>
      <c r="D30">
        <v>1</v>
      </c>
      <c r="E30">
        <v>1</v>
      </c>
      <c r="F30">
        <v>1</v>
      </c>
      <c r="G30">
        <v>1</v>
      </c>
      <c r="H30" t="s">
        <v>164</v>
      </c>
      <c r="I30" t="s">
        <v>418</v>
      </c>
      <c r="J30" t="s">
        <v>411</v>
      </c>
      <c r="K30" t="s">
        <v>411</v>
      </c>
    </row>
    <row r="31" spans="1:11" x14ac:dyDescent="0.25">
      <c r="A31" t="s">
        <v>89</v>
      </c>
      <c r="B31">
        <v>900</v>
      </c>
      <c r="C31">
        <v>900</v>
      </c>
      <c r="D31">
        <v>1</v>
      </c>
      <c r="E31">
        <v>1</v>
      </c>
      <c r="F31">
        <v>1</v>
      </c>
      <c r="G31">
        <v>1</v>
      </c>
      <c r="H31" t="s">
        <v>164</v>
      </c>
      <c r="I31" t="s">
        <v>418</v>
      </c>
      <c r="J31" t="s">
        <v>413</v>
      </c>
      <c r="K31" t="s">
        <v>411</v>
      </c>
    </row>
    <row r="32" spans="1:11" x14ac:dyDescent="0.25">
      <c r="A32" t="s">
        <v>79</v>
      </c>
      <c r="B32">
        <v>800</v>
      </c>
      <c r="C32">
        <v>800</v>
      </c>
      <c r="D32">
        <v>1</v>
      </c>
      <c r="E32">
        <v>1</v>
      </c>
      <c r="F32">
        <v>1</v>
      </c>
      <c r="G32">
        <v>1</v>
      </c>
      <c r="H32" t="s">
        <v>164</v>
      </c>
      <c r="I32" t="s">
        <v>418</v>
      </c>
      <c r="J32" t="s">
        <v>413</v>
      </c>
      <c r="K32" t="s">
        <v>411</v>
      </c>
    </row>
    <row r="33" spans="1:11" x14ac:dyDescent="0.25">
      <c r="A33" t="s">
        <v>106</v>
      </c>
      <c r="B33">
        <v>1000</v>
      </c>
      <c r="C33">
        <v>1000</v>
      </c>
      <c r="D33">
        <v>1</v>
      </c>
      <c r="E33">
        <v>1</v>
      </c>
      <c r="F33">
        <v>1</v>
      </c>
      <c r="G33">
        <v>1</v>
      </c>
      <c r="H33" t="s">
        <v>164</v>
      </c>
      <c r="I33" t="s">
        <v>418</v>
      </c>
      <c r="J33" t="s">
        <v>413</v>
      </c>
      <c r="K33" t="s">
        <v>411</v>
      </c>
    </row>
    <row r="34" spans="1:11" x14ac:dyDescent="0.25">
      <c r="A34" t="s">
        <v>174</v>
      </c>
      <c r="B34">
        <v>1120</v>
      </c>
      <c r="C34">
        <v>1120</v>
      </c>
      <c r="D34">
        <v>1</v>
      </c>
      <c r="E34">
        <v>1</v>
      </c>
      <c r="F34">
        <v>1</v>
      </c>
      <c r="G34">
        <v>1</v>
      </c>
      <c r="H34" t="s">
        <v>164</v>
      </c>
      <c r="I34" t="s">
        <v>418</v>
      </c>
      <c r="J34" t="s">
        <v>413</v>
      </c>
      <c r="K34" t="s">
        <v>411</v>
      </c>
    </row>
    <row r="35" spans="1:11" x14ac:dyDescent="0.25">
      <c r="A35" t="s">
        <v>160</v>
      </c>
      <c r="B35">
        <v>2400</v>
      </c>
      <c r="C35">
        <v>2400</v>
      </c>
      <c r="D35">
        <v>1</v>
      </c>
      <c r="E35">
        <v>1</v>
      </c>
      <c r="F35">
        <v>1</v>
      </c>
      <c r="G35">
        <v>1</v>
      </c>
      <c r="H35" t="s">
        <v>164</v>
      </c>
      <c r="I35" t="s">
        <v>418</v>
      </c>
      <c r="J35" t="s">
        <v>411</v>
      </c>
      <c r="K35" t="s">
        <v>411</v>
      </c>
    </row>
    <row r="36" spans="1:11" x14ac:dyDescent="0.25">
      <c r="A36" t="s">
        <v>159</v>
      </c>
      <c r="B36">
        <v>1000</v>
      </c>
      <c r="C36">
        <v>1000</v>
      </c>
      <c r="D36">
        <v>1</v>
      </c>
      <c r="E36">
        <v>1</v>
      </c>
      <c r="F36">
        <v>1</v>
      </c>
      <c r="G36">
        <v>1</v>
      </c>
      <c r="H36" t="s">
        <v>164</v>
      </c>
      <c r="I36" t="s">
        <v>418</v>
      </c>
      <c r="J36" t="s">
        <v>411</v>
      </c>
      <c r="K36" t="s">
        <v>411</v>
      </c>
    </row>
    <row r="37" spans="1:11" x14ac:dyDescent="0.25">
      <c r="A37" t="s">
        <v>52</v>
      </c>
      <c r="B37">
        <v>3000</v>
      </c>
      <c r="C37">
        <v>3000</v>
      </c>
      <c r="D37">
        <v>1</v>
      </c>
      <c r="E37">
        <v>1</v>
      </c>
      <c r="F37">
        <v>1</v>
      </c>
      <c r="G37">
        <v>1</v>
      </c>
      <c r="H37" t="s">
        <v>164</v>
      </c>
      <c r="I37" t="s">
        <v>418</v>
      </c>
      <c r="J37" t="s">
        <v>411</v>
      </c>
      <c r="K37" t="s">
        <v>411</v>
      </c>
    </row>
    <row r="38" spans="1:11" x14ac:dyDescent="0.25">
      <c r="A38" t="s">
        <v>128</v>
      </c>
      <c r="B38">
        <v>2400</v>
      </c>
      <c r="C38">
        <v>2400</v>
      </c>
      <c r="D38">
        <v>1</v>
      </c>
      <c r="E38">
        <v>1</v>
      </c>
      <c r="F38">
        <v>1</v>
      </c>
      <c r="G38">
        <v>1</v>
      </c>
      <c r="H38" t="s">
        <v>164</v>
      </c>
      <c r="I38" t="s">
        <v>418</v>
      </c>
      <c r="J38" t="s">
        <v>411</v>
      </c>
      <c r="K38" t="s">
        <v>411</v>
      </c>
    </row>
    <row r="39" spans="1:11" x14ac:dyDescent="0.25">
      <c r="A39" t="s">
        <v>67</v>
      </c>
      <c r="B39">
        <v>200</v>
      </c>
      <c r="C39">
        <v>200</v>
      </c>
      <c r="D39">
        <v>1</v>
      </c>
      <c r="E39">
        <v>1</v>
      </c>
      <c r="F39">
        <v>1</v>
      </c>
      <c r="G39">
        <v>1</v>
      </c>
      <c r="H39" t="s">
        <v>164</v>
      </c>
      <c r="I39" t="s">
        <v>418</v>
      </c>
      <c r="J39" t="s">
        <v>413</v>
      </c>
      <c r="K39" t="s">
        <v>411</v>
      </c>
    </row>
    <row r="40" spans="1:11" x14ac:dyDescent="0.25">
      <c r="A40" t="s">
        <v>111</v>
      </c>
      <c r="B40">
        <v>250</v>
      </c>
      <c r="C40">
        <v>250</v>
      </c>
      <c r="D40">
        <v>1</v>
      </c>
      <c r="E40">
        <v>1</v>
      </c>
      <c r="F40">
        <v>1</v>
      </c>
      <c r="G40">
        <v>1</v>
      </c>
      <c r="H40" t="s">
        <v>164</v>
      </c>
      <c r="I40" t="s">
        <v>418</v>
      </c>
      <c r="J40" t="s">
        <v>413</v>
      </c>
      <c r="K40" t="s">
        <v>411</v>
      </c>
    </row>
    <row r="41" spans="1:11" x14ac:dyDescent="0.25">
      <c r="A41" t="s">
        <v>171</v>
      </c>
      <c r="B41">
        <v>200</v>
      </c>
      <c r="C41">
        <v>200</v>
      </c>
      <c r="D41">
        <v>1</v>
      </c>
      <c r="E41">
        <v>1</v>
      </c>
      <c r="F41">
        <v>1</v>
      </c>
      <c r="G41">
        <v>1</v>
      </c>
      <c r="H41" t="s">
        <v>164</v>
      </c>
      <c r="I41" t="s">
        <v>418</v>
      </c>
      <c r="J41" t="s">
        <v>413</v>
      </c>
      <c r="K41" t="s">
        <v>411</v>
      </c>
    </row>
    <row r="42" spans="1:11" x14ac:dyDescent="0.25">
      <c r="A42" t="s">
        <v>61</v>
      </c>
      <c r="B42">
        <v>225</v>
      </c>
      <c r="C42">
        <v>225</v>
      </c>
      <c r="D42">
        <v>1</v>
      </c>
      <c r="E42">
        <v>1</v>
      </c>
      <c r="F42">
        <v>1</v>
      </c>
      <c r="G42">
        <v>1</v>
      </c>
      <c r="H42" t="s">
        <v>164</v>
      </c>
      <c r="I42" t="s">
        <v>418</v>
      </c>
      <c r="J42" t="s">
        <v>413</v>
      </c>
      <c r="K42" t="s">
        <v>411</v>
      </c>
    </row>
    <row r="43" spans="1:11" x14ac:dyDescent="0.25">
      <c r="A43" t="s">
        <v>123</v>
      </c>
      <c r="B43">
        <v>380</v>
      </c>
      <c r="C43">
        <v>380</v>
      </c>
      <c r="D43">
        <v>1</v>
      </c>
      <c r="E43">
        <v>1</v>
      </c>
      <c r="F43">
        <v>1</v>
      </c>
      <c r="G43">
        <v>1</v>
      </c>
      <c r="H43" t="s">
        <v>164</v>
      </c>
      <c r="I43" t="s">
        <v>418</v>
      </c>
      <c r="J43" t="s">
        <v>411</v>
      </c>
      <c r="K43" t="s">
        <v>411</v>
      </c>
    </row>
    <row r="44" spans="1:11" x14ac:dyDescent="0.25">
      <c r="A44" t="s">
        <v>112</v>
      </c>
      <c r="B44">
        <v>250</v>
      </c>
      <c r="C44">
        <v>250</v>
      </c>
      <c r="D44">
        <v>1</v>
      </c>
      <c r="E44">
        <v>1</v>
      </c>
      <c r="F44">
        <v>1</v>
      </c>
      <c r="G44">
        <v>1</v>
      </c>
      <c r="H44" t="s">
        <v>164</v>
      </c>
      <c r="I44" t="s">
        <v>418</v>
      </c>
      <c r="J44" t="s">
        <v>411</v>
      </c>
      <c r="K44" t="s">
        <v>411</v>
      </c>
    </row>
    <row r="45" spans="1:11" x14ac:dyDescent="0.25">
      <c r="A45" t="s">
        <v>125</v>
      </c>
      <c r="B45">
        <v>225</v>
      </c>
      <c r="C45">
        <v>225</v>
      </c>
      <c r="D45">
        <v>1</v>
      </c>
      <c r="E45">
        <v>1</v>
      </c>
      <c r="F45">
        <v>1</v>
      </c>
      <c r="G45">
        <v>1</v>
      </c>
      <c r="H45" t="s">
        <v>164</v>
      </c>
      <c r="I45" t="s">
        <v>418</v>
      </c>
      <c r="J45" t="s">
        <v>411</v>
      </c>
      <c r="K45" t="s">
        <v>411</v>
      </c>
    </row>
    <row r="46" spans="1:11" x14ac:dyDescent="0.25">
      <c r="A46" t="s">
        <v>62</v>
      </c>
      <c r="B46">
        <v>450</v>
      </c>
      <c r="C46">
        <v>450</v>
      </c>
      <c r="D46">
        <v>1</v>
      </c>
      <c r="E46">
        <v>1</v>
      </c>
      <c r="F46">
        <v>1</v>
      </c>
      <c r="G46">
        <v>1</v>
      </c>
      <c r="H46" t="s">
        <v>164</v>
      </c>
      <c r="I46" t="s">
        <v>418</v>
      </c>
      <c r="J46" t="s">
        <v>411</v>
      </c>
      <c r="K46" t="s">
        <v>411</v>
      </c>
    </row>
    <row r="47" spans="1:11" x14ac:dyDescent="0.25">
      <c r="A47" t="s">
        <v>122</v>
      </c>
      <c r="B47">
        <v>500</v>
      </c>
      <c r="C47">
        <v>500</v>
      </c>
      <c r="D47">
        <v>1</v>
      </c>
      <c r="E47">
        <v>1</v>
      </c>
      <c r="F47">
        <v>1</v>
      </c>
      <c r="G47">
        <v>1</v>
      </c>
      <c r="H47" t="s">
        <v>164</v>
      </c>
      <c r="I47" t="s">
        <v>418</v>
      </c>
      <c r="J47" t="s">
        <v>413</v>
      </c>
      <c r="K47" t="s">
        <v>411</v>
      </c>
    </row>
    <row r="48" spans="1:11" x14ac:dyDescent="0.25">
      <c r="A48" t="s">
        <v>129</v>
      </c>
      <c r="B48">
        <v>500</v>
      </c>
      <c r="C48">
        <v>500</v>
      </c>
      <c r="D48">
        <v>1</v>
      </c>
      <c r="E48">
        <v>1</v>
      </c>
      <c r="F48">
        <v>1</v>
      </c>
      <c r="G48">
        <v>1</v>
      </c>
      <c r="H48" t="s">
        <v>164</v>
      </c>
      <c r="I48" t="s">
        <v>418</v>
      </c>
      <c r="J48" t="s">
        <v>413</v>
      </c>
      <c r="K48" t="s">
        <v>411</v>
      </c>
    </row>
    <row r="49" spans="1:11" x14ac:dyDescent="0.25">
      <c r="A49" t="s">
        <v>163</v>
      </c>
      <c r="B49">
        <v>800</v>
      </c>
      <c r="C49">
        <v>800</v>
      </c>
      <c r="D49">
        <v>1</v>
      </c>
      <c r="E49">
        <v>1</v>
      </c>
      <c r="F49">
        <v>1</v>
      </c>
      <c r="G49">
        <v>1</v>
      </c>
      <c r="H49" t="s">
        <v>164</v>
      </c>
      <c r="I49" t="s">
        <v>418</v>
      </c>
      <c r="J49" t="s">
        <v>413</v>
      </c>
      <c r="K49" t="s">
        <v>411</v>
      </c>
    </row>
    <row r="50" spans="1:11" x14ac:dyDescent="0.25">
      <c r="A50" t="s">
        <v>103</v>
      </c>
      <c r="B50">
        <v>900</v>
      </c>
      <c r="C50">
        <v>900</v>
      </c>
      <c r="D50">
        <v>1</v>
      </c>
      <c r="E50">
        <v>1</v>
      </c>
      <c r="F50">
        <v>1</v>
      </c>
      <c r="G50">
        <v>1</v>
      </c>
      <c r="H50" t="s">
        <v>164</v>
      </c>
      <c r="I50" t="s">
        <v>418</v>
      </c>
      <c r="J50" t="s">
        <v>411</v>
      </c>
      <c r="K50" t="s">
        <v>411</v>
      </c>
    </row>
    <row r="51" spans="1:11" x14ac:dyDescent="0.25">
      <c r="A51" t="s">
        <v>70</v>
      </c>
      <c r="B51">
        <v>800</v>
      </c>
      <c r="C51">
        <v>800</v>
      </c>
      <c r="D51">
        <v>1</v>
      </c>
      <c r="E51">
        <v>1</v>
      </c>
      <c r="F51">
        <v>1</v>
      </c>
      <c r="G51">
        <v>1</v>
      </c>
      <c r="H51" t="s">
        <v>164</v>
      </c>
      <c r="I51" t="s">
        <v>418</v>
      </c>
      <c r="J51" t="s">
        <v>411</v>
      </c>
      <c r="K51" t="s">
        <v>411</v>
      </c>
    </row>
    <row r="52" spans="1:11" x14ac:dyDescent="0.25">
      <c r="A52" t="s">
        <v>114</v>
      </c>
      <c r="B52">
        <v>1000</v>
      </c>
      <c r="C52">
        <v>1000</v>
      </c>
      <c r="D52">
        <v>1</v>
      </c>
      <c r="E52">
        <v>1</v>
      </c>
      <c r="F52">
        <v>1</v>
      </c>
      <c r="G52">
        <v>1</v>
      </c>
      <c r="H52" t="s">
        <v>164</v>
      </c>
      <c r="I52" t="s">
        <v>418</v>
      </c>
      <c r="J52" t="s">
        <v>411</v>
      </c>
      <c r="K52" t="s">
        <v>411</v>
      </c>
    </row>
    <row r="53" spans="1:11" x14ac:dyDescent="0.25">
      <c r="A53" t="s">
        <v>130</v>
      </c>
      <c r="B53">
        <v>20</v>
      </c>
      <c r="C53">
        <v>20</v>
      </c>
      <c r="D53">
        <v>1</v>
      </c>
      <c r="E53">
        <v>1</v>
      </c>
      <c r="F53">
        <v>1</v>
      </c>
      <c r="G53">
        <v>1</v>
      </c>
      <c r="H53" t="s">
        <v>164</v>
      </c>
      <c r="I53" t="s">
        <v>418</v>
      </c>
      <c r="J53" t="s">
        <v>413</v>
      </c>
      <c r="K53" t="s">
        <v>411</v>
      </c>
    </row>
    <row r="54" spans="1:11" x14ac:dyDescent="0.25">
      <c r="A54" t="s">
        <v>121</v>
      </c>
      <c r="B54">
        <v>55</v>
      </c>
      <c r="C54">
        <v>55</v>
      </c>
      <c r="D54">
        <v>1</v>
      </c>
      <c r="E54">
        <v>1</v>
      </c>
      <c r="F54">
        <v>1</v>
      </c>
      <c r="G54">
        <v>1</v>
      </c>
      <c r="H54" t="s">
        <v>164</v>
      </c>
      <c r="I54" t="s">
        <v>418</v>
      </c>
      <c r="J54" t="s">
        <v>413</v>
      </c>
      <c r="K54" t="s">
        <v>411</v>
      </c>
    </row>
    <row r="55" spans="1:11" x14ac:dyDescent="0.25">
      <c r="A55" t="s">
        <v>147</v>
      </c>
      <c r="B55">
        <v>100</v>
      </c>
      <c r="C55">
        <v>100</v>
      </c>
      <c r="D55">
        <v>1</v>
      </c>
      <c r="E55">
        <v>1</v>
      </c>
      <c r="F55">
        <v>1</v>
      </c>
      <c r="G55">
        <v>1</v>
      </c>
      <c r="H55" t="s">
        <v>164</v>
      </c>
      <c r="I55" t="s">
        <v>418</v>
      </c>
      <c r="J55" t="s">
        <v>413</v>
      </c>
      <c r="K55" t="s">
        <v>411</v>
      </c>
    </row>
    <row r="56" spans="1:11" x14ac:dyDescent="0.25">
      <c r="A56" t="s">
        <v>140</v>
      </c>
      <c r="B56">
        <v>150</v>
      </c>
      <c r="C56">
        <v>150</v>
      </c>
      <c r="D56">
        <v>1</v>
      </c>
      <c r="E56">
        <v>1</v>
      </c>
      <c r="F56">
        <v>1</v>
      </c>
      <c r="G56">
        <v>1</v>
      </c>
      <c r="H56" t="s">
        <v>164</v>
      </c>
      <c r="I56" t="s">
        <v>418</v>
      </c>
      <c r="J56" t="s">
        <v>413</v>
      </c>
      <c r="K56" t="s">
        <v>411</v>
      </c>
    </row>
    <row r="57" spans="1:11" x14ac:dyDescent="0.25">
      <c r="A57" t="s">
        <v>104</v>
      </c>
      <c r="B57">
        <v>1200</v>
      </c>
      <c r="C57">
        <v>1000</v>
      </c>
      <c r="D57">
        <v>1</v>
      </c>
      <c r="E57">
        <v>1</v>
      </c>
      <c r="F57">
        <v>1</v>
      </c>
      <c r="G57">
        <v>1</v>
      </c>
      <c r="H57" t="s">
        <v>164</v>
      </c>
      <c r="I57" t="s">
        <v>418</v>
      </c>
      <c r="J57" t="s">
        <v>411</v>
      </c>
      <c r="K57" t="s">
        <v>411</v>
      </c>
    </row>
    <row r="58" spans="1:11" x14ac:dyDescent="0.25">
      <c r="A58" t="s">
        <v>68</v>
      </c>
      <c r="B58">
        <v>1200</v>
      </c>
      <c r="C58">
        <v>1000</v>
      </c>
      <c r="D58">
        <v>1</v>
      </c>
      <c r="E58">
        <v>1</v>
      </c>
      <c r="F58">
        <v>1</v>
      </c>
      <c r="G58">
        <v>1</v>
      </c>
      <c r="H58" t="s">
        <v>164</v>
      </c>
      <c r="I58" t="s">
        <v>418</v>
      </c>
      <c r="J58" t="s">
        <v>411</v>
      </c>
      <c r="K58" t="s">
        <v>411</v>
      </c>
    </row>
    <row r="59" spans="1:11" x14ac:dyDescent="0.25">
      <c r="A59" t="s">
        <v>49</v>
      </c>
      <c r="B59">
        <v>300</v>
      </c>
      <c r="C59">
        <v>300</v>
      </c>
      <c r="D59">
        <v>1</v>
      </c>
      <c r="E59">
        <v>1</v>
      </c>
      <c r="F59">
        <v>1</v>
      </c>
      <c r="G59">
        <v>1</v>
      </c>
      <c r="H59" t="s">
        <v>164</v>
      </c>
      <c r="I59" t="s">
        <v>418</v>
      </c>
      <c r="J59" t="s">
        <v>411</v>
      </c>
      <c r="K59" t="s">
        <v>411</v>
      </c>
    </row>
    <row r="60" spans="1:11" x14ac:dyDescent="0.25">
      <c r="A60" t="s">
        <v>83</v>
      </c>
      <c r="B60">
        <v>225</v>
      </c>
      <c r="C60">
        <v>225</v>
      </c>
      <c r="D60">
        <v>1</v>
      </c>
      <c r="E60">
        <v>1</v>
      </c>
      <c r="F60">
        <v>1</v>
      </c>
      <c r="G60">
        <v>1</v>
      </c>
      <c r="H60" t="s">
        <v>164</v>
      </c>
      <c r="I60" t="s">
        <v>418</v>
      </c>
      <c r="J60" t="s">
        <v>411</v>
      </c>
      <c r="K60" t="s">
        <v>411</v>
      </c>
    </row>
    <row r="61" spans="1:11" x14ac:dyDescent="0.25">
      <c r="A61" t="s">
        <v>148</v>
      </c>
      <c r="B61">
        <v>1200</v>
      </c>
      <c r="C61">
        <v>1000</v>
      </c>
      <c r="D61">
        <v>1</v>
      </c>
      <c r="E61">
        <v>1</v>
      </c>
      <c r="F61">
        <v>1</v>
      </c>
      <c r="G61">
        <v>1</v>
      </c>
      <c r="H61" t="s">
        <v>164</v>
      </c>
      <c r="I61" t="s">
        <v>418</v>
      </c>
      <c r="J61" t="s">
        <v>411</v>
      </c>
      <c r="K61" t="s">
        <v>411</v>
      </c>
    </row>
    <row r="62" spans="1:11" x14ac:dyDescent="0.25">
      <c r="A62" t="s">
        <v>44</v>
      </c>
      <c r="B62">
        <v>1200</v>
      </c>
      <c r="C62">
        <v>1000</v>
      </c>
      <c r="D62">
        <v>1</v>
      </c>
      <c r="E62">
        <v>1</v>
      </c>
      <c r="F62">
        <v>1</v>
      </c>
      <c r="G62">
        <v>1</v>
      </c>
      <c r="H62" t="s">
        <v>164</v>
      </c>
      <c r="I62" t="s">
        <v>418</v>
      </c>
      <c r="J62" t="s">
        <v>411</v>
      </c>
      <c r="K62" t="s">
        <v>411</v>
      </c>
    </row>
    <row r="63" spans="1:11" x14ac:dyDescent="0.25">
      <c r="A63" t="s">
        <v>96</v>
      </c>
      <c r="B63">
        <v>2500</v>
      </c>
      <c r="C63">
        <v>7000</v>
      </c>
      <c r="D63">
        <v>1</v>
      </c>
      <c r="E63">
        <v>1</v>
      </c>
      <c r="F63">
        <v>1</v>
      </c>
      <c r="G63">
        <v>1</v>
      </c>
      <c r="H63" t="s">
        <v>164</v>
      </c>
      <c r="I63" t="s">
        <v>418</v>
      </c>
      <c r="J63" t="s">
        <v>413</v>
      </c>
      <c r="K63" t="s">
        <v>411</v>
      </c>
    </row>
    <row r="64" spans="1:11" x14ac:dyDescent="0.25">
      <c r="A64" t="s">
        <v>137</v>
      </c>
      <c r="B64">
        <v>10000</v>
      </c>
      <c r="C64">
        <v>10000</v>
      </c>
      <c r="D64">
        <v>1</v>
      </c>
      <c r="E64">
        <v>1</v>
      </c>
      <c r="F64">
        <v>1</v>
      </c>
      <c r="G64">
        <v>1</v>
      </c>
      <c r="H64" t="s">
        <v>164</v>
      </c>
      <c r="I64" t="s">
        <v>418</v>
      </c>
      <c r="J64" t="s">
        <v>411</v>
      </c>
      <c r="K64" t="s">
        <v>411</v>
      </c>
    </row>
    <row r="65" spans="1:11" x14ac:dyDescent="0.25">
      <c r="A65" t="s">
        <v>154</v>
      </c>
      <c r="B65">
        <v>0</v>
      </c>
      <c r="C65">
        <v>0</v>
      </c>
      <c r="K65" t="s">
        <v>413</v>
      </c>
    </row>
    <row r="66" spans="1:11" x14ac:dyDescent="0.25">
      <c r="A66" t="s">
        <v>93</v>
      </c>
      <c r="B66">
        <v>0</v>
      </c>
      <c r="C66">
        <v>0</v>
      </c>
      <c r="K66" t="s">
        <v>413</v>
      </c>
    </row>
    <row r="67" spans="1:11" x14ac:dyDescent="0.25">
      <c r="A67" t="s">
        <v>108</v>
      </c>
      <c r="B67">
        <v>0</v>
      </c>
      <c r="C67">
        <v>0</v>
      </c>
      <c r="K67" t="s">
        <v>413</v>
      </c>
    </row>
    <row r="68" spans="1:11" x14ac:dyDescent="0.25">
      <c r="A68" t="s">
        <v>141</v>
      </c>
      <c r="B68">
        <v>0</v>
      </c>
      <c r="C68">
        <v>0</v>
      </c>
      <c r="K68" t="s">
        <v>413</v>
      </c>
    </row>
    <row r="69" spans="1:11" x14ac:dyDescent="0.25">
      <c r="A69" t="s">
        <v>133</v>
      </c>
      <c r="B69">
        <v>0</v>
      </c>
      <c r="C69">
        <v>0</v>
      </c>
      <c r="K69" t="s">
        <v>413</v>
      </c>
    </row>
    <row r="70" spans="1:11" x14ac:dyDescent="0.25">
      <c r="A70" t="s">
        <v>120</v>
      </c>
      <c r="B70">
        <v>0</v>
      </c>
      <c r="C70">
        <v>0</v>
      </c>
      <c r="K70" t="s">
        <v>413</v>
      </c>
    </row>
    <row r="71" spans="1:11" x14ac:dyDescent="0.25">
      <c r="A71" t="s">
        <v>48</v>
      </c>
      <c r="B71">
        <v>0</v>
      </c>
      <c r="C71">
        <v>0</v>
      </c>
      <c r="K71" t="s">
        <v>413</v>
      </c>
    </row>
    <row r="72" spans="1:11" x14ac:dyDescent="0.25">
      <c r="A72" t="s">
        <v>100</v>
      </c>
      <c r="B72">
        <v>0</v>
      </c>
      <c r="C72">
        <v>0</v>
      </c>
      <c r="K72" t="s">
        <v>413</v>
      </c>
    </row>
    <row r="73" spans="1:11" x14ac:dyDescent="0.25">
      <c r="A73" t="s">
        <v>126</v>
      </c>
      <c r="B73">
        <v>0</v>
      </c>
      <c r="C73">
        <v>0</v>
      </c>
      <c r="K73" t="s">
        <v>413</v>
      </c>
    </row>
    <row r="74" spans="1:11" x14ac:dyDescent="0.25">
      <c r="A74" t="s">
        <v>50</v>
      </c>
      <c r="B74">
        <v>0</v>
      </c>
      <c r="C74">
        <v>0</v>
      </c>
      <c r="K74" t="s">
        <v>413</v>
      </c>
    </row>
    <row r="75" spans="1:11" x14ac:dyDescent="0.25">
      <c r="A75" t="s">
        <v>173</v>
      </c>
      <c r="B75">
        <v>0</v>
      </c>
      <c r="C75">
        <v>0</v>
      </c>
      <c r="K75" t="s">
        <v>413</v>
      </c>
    </row>
    <row r="76" spans="1:11" x14ac:dyDescent="0.25">
      <c r="A76" t="s">
        <v>57</v>
      </c>
      <c r="B76">
        <v>0</v>
      </c>
      <c r="C76">
        <v>0</v>
      </c>
      <c r="K76" t="s">
        <v>413</v>
      </c>
    </row>
    <row r="77" spans="1:11" x14ac:dyDescent="0.25">
      <c r="A77" t="s">
        <v>56</v>
      </c>
      <c r="B77">
        <v>0</v>
      </c>
      <c r="C77">
        <v>0</v>
      </c>
      <c r="K77" t="s">
        <v>413</v>
      </c>
    </row>
    <row r="78" spans="1:11" x14ac:dyDescent="0.25">
      <c r="A78" t="s">
        <v>43</v>
      </c>
      <c r="B78">
        <v>0</v>
      </c>
      <c r="C78">
        <v>0</v>
      </c>
      <c r="K78" t="s">
        <v>413</v>
      </c>
    </row>
    <row r="79" spans="1:11" x14ac:dyDescent="0.25">
      <c r="A79" t="s">
        <v>81</v>
      </c>
      <c r="B79">
        <v>0</v>
      </c>
      <c r="C79">
        <v>0</v>
      </c>
      <c r="K79" t="s">
        <v>413</v>
      </c>
    </row>
    <row r="80" spans="1:11" x14ac:dyDescent="0.25">
      <c r="A80" t="s">
        <v>165</v>
      </c>
      <c r="B80">
        <v>0</v>
      </c>
      <c r="C80">
        <v>700</v>
      </c>
      <c r="D80">
        <v>1</v>
      </c>
      <c r="E80">
        <v>1</v>
      </c>
      <c r="F80">
        <v>1</v>
      </c>
      <c r="G80">
        <v>1</v>
      </c>
      <c r="H80" t="s">
        <v>164</v>
      </c>
      <c r="I80" t="s">
        <v>418</v>
      </c>
      <c r="J80" t="s">
        <v>411</v>
      </c>
      <c r="K80" t="s">
        <v>411</v>
      </c>
    </row>
    <row r="81" spans="1:11" x14ac:dyDescent="0.25">
      <c r="A81" t="s">
        <v>134</v>
      </c>
      <c r="B81">
        <v>0</v>
      </c>
      <c r="C81">
        <v>700</v>
      </c>
      <c r="D81">
        <v>1</v>
      </c>
      <c r="E81">
        <v>1</v>
      </c>
      <c r="F81">
        <v>1</v>
      </c>
      <c r="G81">
        <v>1</v>
      </c>
      <c r="H81" t="s">
        <v>164</v>
      </c>
      <c r="I81" t="s">
        <v>418</v>
      </c>
      <c r="J81" t="s">
        <v>411</v>
      </c>
      <c r="K81" t="s">
        <v>411</v>
      </c>
    </row>
    <row r="82" spans="1:11" x14ac:dyDescent="0.25">
      <c r="A82" t="s">
        <v>78</v>
      </c>
      <c r="B82">
        <v>0</v>
      </c>
      <c r="C82">
        <v>200</v>
      </c>
      <c r="D82">
        <v>1</v>
      </c>
      <c r="E82">
        <v>1</v>
      </c>
      <c r="F82">
        <v>1</v>
      </c>
      <c r="G82">
        <v>1</v>
      </c>
      <c r="H82" t="s">
        <v>164</v>
      </c>
      <c r="I82" t="s">
        <v>418</v>
      </c>
      <c r="J82" t="s">
        <v>413</v>
      </c>
      <c r="K82" t="s">
        <v>411</v>
      </c>
    </row>
    <row r="83" spans="1:11" x14ac:dyDescent="0.25">
      <c r="A83" t="s">
        <v>146</v>
      </c>
      <c r="B83">
        <v>0</v>
      </c>
      <c r="C83">
        <v>200</v>
      </c>
      <c r="D83">
        <v>1</v>
      </c>
      <c r="E83">
        <v>1</v>
      </c>
      <c r="F83">
        <v>1</v>
      </c>
      <c r="G83">
        <v>1</v>
      </c>
      <c r="H83" t="s">
        <v>164</v>
      </c>
      <c r="I83" t="s">
        <v>418</v>
      </c>
      <c r="J83" t="s">
        <v>413</v>
      </c>
      <c r="K83" t="s">
        <v>411</v>
      </c>
    </row>
    <row r="84" spans="1:11" x14ac:dyDescent="0.25">
      <c r="A84" t="s">
        <v>143</v>
      </c>
      <c r="B84">
        <v>0</v>
      </c>
      <c r="C84">
        <v>0</v>
      </c>
      <c r="K84" t="s">
        <v>413</v>
      </c>
    </row>
    <row r="85" spans="1:11" x14ac:dyDescent="0.25">
      <c r="A85" t="s">
        <v>116</v>
      </c>
      <c r="B85">
        <v>0</v>
      </c>
      <c r="C85">
        <v>0</v>
      </c>
      <c r="K85" t="s">
        <v>413</v>
      </c>
    </row>
    <row r="86" spans="1:11" x14ac:dyDescent="0.25">
      <c r="A86" t="s">
        <v>136</v>
      </c>
      <c r="B86">
        <v>0</v>
      </c>
      <c r="C86">
        <v>0</v>
      </c>
      <c r="K86" t="s">
        <v>413</v>
      </c>
    </row>
    <row r="87" spans="1:11" x14ac:dyDescent="0.25">
      <c r="A87" t="s">
        <v>58</v>
      </c>
      <c r="B87">
        <v>0</v>
      </c>
      <c r="C87">
        <v>0</v>
      </c>
      <c r="K87" t="s">
        <v>413</v>
      </c>
    </row>
    <row r="88" spans="1:11" x14ac:dyDescent="0.25">
      <c r="A88" t="s">
        <v>92</v>
      </c>
      <c r="B88">
        <v>0</v>
      </c>
      <c r="C88">
        <v>0</v>
      </c>
      <c r="K88" t="s">
        <v>413</v>
      </c>
    </row>
    <row r="89" spans="1:11" x14ac:dyDescent="0.25">
      <c r="A89" t="s">
        <v>41</v>
      </c>
      <c r="B89">
        <v>0</v>
      </c>
      <c r="C89">
        <v>0</v>
      </c>
      <c r="K89" t="s">
        <v>413</v>
      </c>
    </row>
    <row r="90" spans="1:11" x14ac:dyDescent="0.25">
      <c r="A90" t="s">
        <v>77</v>
      </c>
      <c r="B90">
        <v>0</v>
      </c>
      <c r="C90">
        <v>0</v>
      </c>
      <c r="K90" t="s">
        <v>413</v>
      </c>
    </row>
    <row r="91" spans="1:11" x14ac:dyDescent="0.25">
      <c r="A91" t="s">
        <v>155</v>
      </c>
      <c r="B91">
        <v>0</v>
      </c>
      <c r="C91">
        <v>0</v>
      </c>
      <c r="K91" t="s">
        <v>413</v>
      </c>
    </row>
    <row r="92" spans="1:11" x14ac:dyDescent="0.25">
      <c r="A92" t="s">
        <v>60</v>
      </c>
      <c r="B92">
        <v>0</v>
      </c>
      <c r="C92">
        <v>0</v>
      </c>
      <c r="K92" t="s">
        <v>413</v>
      </c>
    </row>
    <row r="93" spans="1:11" x14ac:dyDescent="0.25">
      <c r="A93" t="s">
        <v>82</v>
      </c>
      <c r="B93">
        <v>0</v>
      </c>
      <c r="C93">
        <v>0</v>
      </c>
      <c r="K93" t="s">
        <v>413</v>
      </c>
    </row>
    <row r="94" spans="1:11" x14ac:dyDescent="0.25">
      <c r="A94" t="s">
        <v>124</v>
      </c>
      <c r="B94">
        <v>0</v>
      </c>
      <c r="C94">
        <v>0</v>
      </c>
      <c r="K94" t="s">
        <v>413</v>
      </c>
    </row>
    <row r="95" spans="1:11" x14ac:dyDescent="0.25">
      <c r="A95" t="s">
        <v>167</v>
      </c>
      <c r="B95">
        <v>0</v>
      </c>
      <c r="C95">
        <v>0</v>
      </c>
      <c r="K95" t="s">
        <v>413</v>
      </c>
    </row>
    <row r="96" spans="1:11" x14ac:dyDescent="0.25">
      <c r="A96" t="s">
        <v>71</v>
      </c>
      <c r="B96">
        <v>0</v>
      </c>
      <c r="C96">
        <v>0</v>
      </c>
      <c r="K96" t="s">
        <v>413</v>
      </c>
    </row>
    <row r="97" spans="1:11" x14ac:dyDescent="0.25">
      <c r="A97" t="s">
        <v>91</v>
      </c>
      <c r="B97">
        <v>0</v>
      </c>
      <c r="C97">
        <v>0</v>
      </c>
      <c r="K97" t="s">
        <v>413</v>
      </c>
    </row>
    <row r="98" spans="1:11" x14ac:dyDescent="0.25">
      <c r="A98" t="s">
        <v>158</v>
      </c>
      <c r="B98">
        <v>0</v>
      </c>
      <c r="C98">
        <v>0</v>
      </c>
      <c r="K98" t="s">
        <v>413</v>
      </c>
    </row>
    <row r="99" spans="1:11" x14ac:dyDescent="0.25">
      <c r="A99" t="s">
        <v>64</v>
      </c>
      <c r="B99">
        <v>0</v>
      </c>
      <c r="C99">
        <v>0</v>
      </c>
      <c r="K99" t="s">
        <v>413</v>
      </c>
    </row>
    <row r="100" spans="1:11" x14ac:dyDescent="0.25">
      <c r="A100" t="s">
        <v>102</v>
      </c>
      <c r="B100">
        <v>0</v>
      </c>
      <c r="C100">
        <v>0</v>
      </c>
      <c r="K100" t="s">
        <v>413</v>
      </c>
    </row>
    <row r="101" spans="1:11" x14ac:dyDescent="0.25">
      <c r="A101" t="s">
        <v>47</v>
      </c>
      <c r="B101">
        <v>0</v>
      </c>
      <c r="C101">
        <v>0</v>
      </c>
      <c r="K101" t="s">
        <v>413</v>
      </c>
    </row>
    <row r="102" spans="1:11" x14ac:dyDescent="0.25">
      <c r="A102" t="s">
        <v>76</v>
      </c>
      <c r="B102">
        <v>0</v>
      </c>
      <c r="C102">
        <v>0</v>
      </c>
      <c r="K102" t="s">
        <v>413</v>
      </c>
    </row>
    <row r="103" spans="1:11" x14ac:dyDescent="0.25">
      <c r="A103" t="s">
        <v>119</v>
      </c>
      <c r="B103">
        <v>0</v>
      </c>
      <c r="C103">
        <v>0</v>
      </c>
      <c r="K103" t="s">
        <v>413</v>
      </c>
    </row>
    <row r="104" spans="1:11" x14ac:dyDescent="0.25">
      <c r="A104" t="s">
        <v>162</v>
      </c>
      <c r="B104">
        <v>0</v>
      </c>
      <c r="C104">
        <v>0</v>
      </c>
      <c r="K104" t="s">
        <v>413</v>
      </c>
    </row>
    <row r="105" spans="1:11" x14ac:dyDescent="0.25">
      <c r="A105" t="s">
        <v>97</v>
      </c>
      <c r="B105">
        <v>0</v>
      </c>
      <c r="C105">
        <v>0</v>
      </c>
      <c r="K105" t="s">
        <v>413</v>
      </c>
    </row>
    <row r="106" spans="1:11" x14ac:dyDescent="0.25">
      <c r="A106" t="s">
        <v>59</v>
      </c>
      <c r="B106">
        <v>0</v>
      </c>
      <c r="C106">
        <v>0</v>
      </c>
      <c r="K106" t="s">
        <v>413</v>
      </c>
    </row>
    <row r="107" spans="1:11" x14ac:dyDescent="0.25">
      <c r="A107" t="s">
        <v>65</v>
      </c>
      <c r="B107">
        <v>0</v>
      </c>
      <c r="C107">
        <v>0</v>
      </c>
      <c r="K107" t="s">
        <v>413</v>
      </c>
    </row>
    <row r="108" spans="1:11" x14ac:dyDescent="0.25">
      <c r="A108" t="s">
        <v>131</v>
      </c>
      <c r="B108">
        <v>0</v>
      </c>
      <c r="C108">
        <v>0</v>
      </c>
      <c r="K108" t="s">
        <v>413</v>
      </c>
    </row>
    <row r="109" spans="1:11" x14ac:dyDescent="0.25">
      <c r="A109" t="s">
        <v>87</v>
      </c>
      <c r="B109">
        <v>0</v>
      </c>
      <c r="C109">
        <v>0</v>
      </c>
      <c r="K109" t="s">
        <v>413</v>
      </c>
    </row>
    <row r="110" spans="1:11" x14ac:dyDescent="0.25">
      <c r="A110" t="s">
        <v>170</v>
      </c>
      <c r="B110">
        <v>0</v>
      </c>
      <c r="C110">
        <v>0</v>
      </c>
      <c r="K110" t="s">
        <v>413</v>
      </c>
    </row>
    <row r="111" spans="1:11" x14ac:dyDescent="0.25">
      <c r="A111" t="s">
        <v>150</v>
      </c>
      <c r="B111">
        <v>0</v>
      </c>
      <c r="C111">
        <v>0</v>
      </c>
      <c r="K111" t="s">
        <v>413</v>
      </c>
    </row>
    <row r="112" spans="1:11" x14ac:dyDescent="0.25">
      <c r="A112" t="s">
        <v>107</v>
      </c>
      <c r="B112">
        <v>2000</v>
      </c>
      <c r="C112">
        <v>1000</v>
      </c>
      <c r="D112">
        <v>1</v>
      </c>
      <c r="E112">
        <v>1</v>
      </c>
      <c r="F112">
        <v>1</v>
      </c>
      <c r="G112">
        <v>1</v>
      </c>
      <c r="H112" t="s">
        <v>164</v>
      </c>
      <c r="I112" t="s">
        <v>418</v>
      </c>
      <c r="J112" t="s">
        <v>411</v>
      </c>
      <c r="K112" t="s">
        <v>411</v>
      </c>
    </row>
    <row r="113" spans="1:11" x14ac:dyDescent="0.25">
      <c r="A113" t="s">
        <v>115</v>
      </c>
      <c r="B113">
        <v>1500</v>
      </c>
      <c r="C113">
        <v>1000</v>
      </c>
      <c r="D113">
        <v>1</v>
      </c>
      <c r="E113">
        <v>1</v>
      </c>
      <c r="F113">
        <v>1</v>
      </c>
      <c r="G113">
        <v>1</v>
      </c>
      <c r="H113" t="s">
        <v>164</v>
      </c>
      <c r="I113" t="s">
        <v>418</v>
      </c>
      <c r="J113" t="s">
        <v>413</v>
      </c>
      <c r="K113" t="s">
        <v>411</v>
      </c>
    </row>
    <row r="114" spans="1:11" x14ac:dyDescent="0.25">
      <c r="A114" t="s">
        <v>95</v>
      </c>
      <c r="B114">
        <v>0</v>
      </c>
      <c r="C114">
        <v>0</v>
      </c>
      <c r="K114" t="s">
        <v>413</v>
      </c>
    </row>
    <row r="115" spans="1:11" x14ac:dyDescent="0.25">
      <c r="A115" t="s">
        <v>175</v>
      </c>
      <c r="B115">
        <v>0</v>
      </c>
      <c r="C115">
        <v>0</v>
      </c>
      <c r="K115" t="s">
        <v>413</v>
      </c>
    </row>
    <row r="116" spans="1:11" x14ac:dyDescent="0.25">
      <c r="A116" t="s">
        <v>152</v>
      </c>
      <c r="B116">
        <v>0</v>
      </c>
      <c r="C116">
        <v>0</v>
      </c>
      <c r="K116" t="s">
        <v>413</v>
      </c>
    </row>
    <row r="117" spans="1:11" x14ac:dyDescent="0.25">
      <c r="A117" t="s">
        <v>73</v>
      </c>
      <c r="B117">
        <v>0</v>
      </c>
      <c r="C117">
        <v>0</v>
      </c>
      <c r="K117" t="s">
        <v>413</v>
      </c>
    </row>
    <row r="118" spans="1:11" x14ac:dyDescent="0.25">
      <c r="A118" t="s">
        <v>86</v>
      </c>
      <c r="B118">
        <v>0</v>
      </c>
      <c r="C118">
        <v>0</v>
      </c>
      <c r="K118" t="s">
        <v>413</v>
      </c>
    </row>
    <row r="119" spans="1:11" x14ac:dyDescent="0.25">
      <c r="A119" t="s">
        <v>168</v>
      </c>
      <c r="B119">
        <v>0</v>
      </c>
      <c r="C119">
        <v>0</v>
      </c>
      <c r="K119" t="s">
        <v>413</v>
      </c>
    </row>
    <row r="120" spans="1:11" x14ac:dyDescent="0.25">
      <c r="A120" t="s">
        <v>166</v>
      </c>
      <c r="B120">
        <v>0</v>
      </c>
      <c r="C120">
        <v>0</v>
      </c>
      <c r="K120" t="s">
        <v>413</v>
      </c>
    </row>
    <row r="121" spans="1:11" x14ac:dyDescent="0.25">
      <c r="A121" t="s">
        <v>132</v>
      </c>
      <c r="B121">
        <v>0</v>
      </c>
      <c r="C121">
        <v>0</v>
      </c>
      <c r="K121" t="s">
        <v>413</v>
      </c>
    </row>
    <row r="122" spans="1:11" x14ac:dyDescent="0.25">
      <c r="A122" t="s">
        <v>109</v>
      </c>
      <c r="B122">
        <v>0</v>
      </c>
      <c r="C122">
        <v>0</v>
      </c>
      <c r="K122" t="s">
        <v>413</v>
      </c>
    </row>
    <row r="123" spans="1:11" x14ac:dyDescent="0.25">
      <c r="A123" t="s">
        <v>66</v>
      </c>
      <c r="B123">
        <v>0</v>
      </c>
      <c r="C123">
        <v>0</v>
      </c>
      <c r="K123" t="s">
        <v>413</v>
      </c>
    </row>
    <row r="124" spans="1:11" x14ac:dyDescent="0.25">
      <c r="A124" t="s">
        <v>105</v>
      </c>
      <c r="B124">
        <v>0</v>
      </c>
      <c r="C124">
        <v>0</v>
      </c>
      <c r="K124" t="s">
        <v>413</v>
      </c>
    </row>
    <row r="125" spans="1:11" x14ac:dyDescent="0.25">
      <c r="A125" t="s">
        <v>85</v>
      </c>
      <c r="B125">
        <v>0</v>
      </c>
      <c r="C125">
        <v>0</v>
      </c>
      <c r="K125" t="s">
        <v>413</v>
      </c>
    </row>
    <row r="126" spans="1:11" x14ac:dyDescent="0.25">
      <c r="A126" t="s">
        <v>53</v>
      </c>
      <c r="B126">
        <v>0</v>
      </c>
      <c r="C126">
        <v>0</v>
      </c>
      <c r="K126" t="s">
        <v>413</v>
      </c>
    </row>
    <row r="127" spans="1:11" x14ac:dyDescent="0.25">
      <c r="A127" t="s">
        <v>55</v>
      </c>
      <c r="B127">
        <v>0</v>
      </c>
      <c r="C127">
        <v>0</v>
      </c>
      <c r="K127" t="s">
        <v>413</v>
      </c>
    </row>
    <row r="128" spans="1:11" x14ac:dyDescent="0.25">
      <c r="A128" t="s">
        <v>80</v>
      </c>
      <c r="B128">
        <v>0</v>
      </c>
      <c r="C128">
        <v>0</v>
      </c>
      <c r="K128" t="s">
        <v>413</v>
      </c>
    </row>
    <row r="129" spans="1:11" x14ac:dyDescent="0.25">
      <c r="A129" t="s">
        <v>98</v>
      </c>
      <c r="B129">
        <v>0</v>
      </c>
      <c r="C129">
        <v>0</v>
      </c>
      <c r="K129" t="s">
        <v>413</v>
      </c>
    </row>
    <row r="130" spans="1:11" x14ac:dyDescent="0.25">
      <c r="A130" t="s">
        <v>156</v>
      </c>
      <c r="B130">
        <v>0</v>
      </c>
      <c r="C130">
        <v>0</v>
      </c>
      <c r="K130" t="s">
        <v>413</v>
      </c>
    </row>
    <row r="131" spans="1:11" x14ac:dyDescent="0.25">
      <c r="A131" t="s">
        <v>72</v>
      </c>
      <c r="B131">
        <v>0</v>
      </c>
      <c r="C131">
        <v>0</v>
      </c>
      <c r="K131" t="s">
        <v>413</v>
      </c>
    </row>
    <row r="132" spans="1:11" x14ac:dyDescent="0.25">
      <c r="A132" t="s">
        <v>142</v>
      </c>
      <c r="B132">
        <v>0</v>
      </c>
      <c r="C132">
        <v>0</v>
      </c>
      <c r="K132" t="s">
        <v>413</v>
      </c>
    </row>
    <row r="133" spans="1:11" x14ac:dyDescent="0.25">
      <c r="A133" t="s">
        <v>88</v>
      </c>
      <c r="B133">
        <v>0</v>
      </c>
      <c r="C133">
        <v>0</v>
      </c>
      <c r="K133" t="s">
        <v>413</v>
      </c>
    </row>
    <row r="134" spans="1:11" x14ac:dyDescent="0.25">
      <c r="A134" t="s">
        <v>153</v>
      </c>
      <c r="B134">
        <v>0</v>
      </c>
      <c r="C134">
        <v>0</v>
      </c>
      <c r="K134" t="s">
        <v>413</v>
      </c>
    </row>
    <row r="135" spans="1:11" x14ac:dyDescent="0.25">
      <c r="A135" t="s">
        <v>135</v>
      </c>
      <c r="B135">
        <v>0</v>
      </c>
      <c r="C135">
        <v>0</v>
      </c>
      <c r="K135" t="s">
        <v>413</v>
      </c>
    </row>
    <row r="136" spans="1:11" x14ac:dyDescent="0.25">
      <c r="A136" t="s">
        <v>157</v>
      </c>
      <c r="B136">
        <v>0</v>
      </c>
      <c r="C136">
        <v>0</v>
      </c>
      <c r="K136" t="s">
        <v>413</v>
      </c>
    </row>
    <row r="137" spans="1:11" x14ac:dyDescent="0.25">
      <c r="A137" t="s">
        <v>110</v>
      </c>
      <c r="B137">
        <v>0</v>
      </c>
      <c r="C137">
        <v>0</v>
      </c>
      <c r="K137" t="s">
        <v>413</v>
      </c>
    </row>
    <row r="138" spans="1:11" x14ac:dyDescent="0.25">
      <c r="A138" t="s">
        <v>69</v>
      </c>
      <c r="B138">
        <v>0</v>
      </c>
      <c r="C138">
        <v>0</v>
      </c>
      <c r="K138" t="s">
        <v>413</v>
      </c>
    </row>
  </sheetData>
  <conditionalFormatting sqref="B3:B1048576">
    <cfRule type="cellIs" dxfId="2" priority="3" operator="equal">
      <formula>0</formula>
    </cfRule>
  </conditionalFormatting>
  <conditionalFormatting sqref="A3:XFD1000">
    <cfRule type="expression" dxfId="1" priority="1">
      <formula>$K3="F"</formula>
    </cfRule>
  </conditionalFormatting>
  <conditionalFormatting sqref="C3:C1048576">
    <cfRule type="cellIs" dxfId="0" priority="2" operator="equal">
      <formula>0</formula>
    </cfRule>
  </conditionalFormatting>
  <dataValidations count="1">
    <dataValidation type="list" allowBlank="1" showInputMessage="1" showErrorMessage="1" sqref="J3:K1048576" xr:uid="{95E4213D-473C-4C2A-9A7A-DF6A3F109340}">
      <formula1>"F,T"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GenFromData">
                <anchor mov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942975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E825F-BCE5-4827-BD1B-0AD06AB40143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82B03F-C031-46F4-9EF8-F17740D0D9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</vt:lpstr>
      <vt:lpstr>data</vt:lpstr>
      <vt:lpstr>tune</vt:lpstr>
      <vt:lpstr>prod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C</dc:creator>
  <cp:lastModifiedBy>Anthony C</cp:lastModifiedBy>
  <dcterms:created xsi:type="dcterms:W3CDTF">2024-03-06T21:43:14Z</dcterms:created>
  <dcterms:modified xsi:type="dcterms:W3CDTF">2024-03-16T02:57:17Z</dcterms:modified>
</cp:coreProperties>
</file>